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030" activeTab="2"/>
  </bookViews>
  <sheets>
    <sheet name="说明与规则总览" sheetId="1" r:id="rId1"/>
    <sheet name="评估量表" sheetId="2" r:id="rId2"/>
    <sheet name="诊断与双维分类报告" sheetId="3" r:id="rId3"/>
    <sheet name="维度参考与规则速查" sheetId="4" r:id="rId4"/>
  </sheets>
  <externalReferences>
    <externalReference r:id="rId6"/>
  </externalReferences>
  <calcPr calcId="144525"/>
</workbook>
</file>

<file path=xl/sharedStrings.xml><?xml version="1.0" encoding="utf-8"?>
<sst xmlns="http://schemas.openxmlformats.org/spreadsheetml/2006/main" count="355" uniqueCount="265">
  <si>
    <t>📋 家校沟通与合作 · 六维诊断与双维分类评估量表 V2.0</t>
  </si>
  <si>
    <t>融合「教师独立评估（30题+常模）」与「六维诊断+双维分类」两套工具，单一填表、双视图结论</t>
  </si>
  <si>
    <t>工具用途</t>
  </si>
  <si>
    <t>面向班主任/年级组，对单一学生家庭的“家校沟通与合作”状况进行结构化评估：既看健康水平（常模对照），也看病态风险（五级诊断），并做双维分类定位，支撑分级干预决策。</t>
  </si>
  <si>
    <t>适用对象</t>
  </si>
  <si>
    <t>由 班主任 / 教师 独立填写，无需家长参与；用于评估单一学生家庭与学校的沟通合作状况。</t>
  </si>
  <si>
    <t>填写步骤</t>
  </si>
  <si>
    <t>① 在「评估量表」按 1–5 给 30 题打分（下拉选择）；② 在「诊断与双维分类报告」选定双维分类代码（S/P/A-E）；③ 报告页自动生成均分、风险总分、干预级别与典型画像，对照「维度参考与规则速查」制定方案。</t>
  </si>
  <si>
    <t>两套视图方向（重要）</t>
  </si>
  <si>
    <t>· 健康视图：量表 1–5 评分、维度均分、与常模差值 —— 数值越高=越健康越好。
· 风险视图：由均分自动换算的“风险等级(1–5)”、风险总分(6–30)、综合干预级别 —— 数值越高=问题越严重、风险越大。两者方向相反，请勿混淆。</t>
  </si>
  <si>
    <t>结果查看</t>
  </si>
  <si>
    <t>「诊断与双维分类报告」页根据填写自动计算：维度均分、风险等级、等级描述、与常模差值、风险总分、综合干预级别、触发条件、建议动作、最薄弱维度、双维典型画像与核心策略。</t>
  </si>
  <si>
    <t>保密要求</t>
  </si>
  <si>
    <t>评估数据仅用于内部管理，严格保密。</t>
  </si>
  <si>
    <t>评分锚点（评估量表 1–5）</t>
  </si>
  <si>
    <t>1</t>
  </si>
  <si>
    <t>非常不符合</t>
  </si>
  <si>
    <t>2</t>
  </si>
  <si>
    <t>比较不符合</t>
  </si>
  <si>
    <t>3</t>
  </si>
  <si>
    <t>一般 / 不确定</t>
  </si>
  <si>
    <t>4</t>
  </si>
  <si>
    <t>比较符合</t>
  </si>
  <si>
    <t>5</t>
  </si>
  <si>
    <t>非常符合</t>
  </si>
  <si>
    <t>五级干预级别一览（风险总分 / 综合干预级别）</t>
  </si>
  <si>
    <t>常态维持</t>
  </si>
  <si>
    <t>风险总分≤10 ｜ 触发：Y类 0项 ｜ 动作：常态观察与维持</t>
  </si>
  <si>
    <t>1级 · 关注</t>
  </si>
  <si>
    <t>风险总分≤15 ｜ 触发：Y类 ≥1-2 ｜ 动作：班主任关注（基础预防）</t>
  </si>
  <si>
    <t>2级 · 轻度</t>
  </si>
  <si>
    <t>风险总分≤20 ｜ 触发：O≥1 或 Y≥3-4 ｜ 动作：班主任+年级组（普及干预）</t>
  </si>
  <si>
    <t>3级 · 中度</t>
  </si>
  <si>
    <t>风险总分≤25 ｜ 触发：O≥2 或 Y≥5 ｜ 动作：定向干预组（班主任+心理教师+年级主任）</t>
  </si>
  <si>
    <t>4级 · 重度</t>
  </si>
  <si>
    <t>风险总分≤28 ｜ 触发：O≥3 ｜ 动作：强化干预组（心理团队+年级主任+管理层）</t>
  </si>
  <si>
    <t>5级 · 极重</t>
  </si>
  <si>
    <t>风险总分≤30 ｜ 触发：R类任一命中 ｜ 动作：危机响应组（管理层+心理团队+外部专家）</t>
  </si>
  <si>
    <t>六维名称</t>
  </si>
  <si>
    <t>沟通质量 · 角色边界 · 教育一致性 · 信任关系 · 参与效能 · 危机响应（每维 5 题，共 30 题）</t>
  </si>
  <si>
    <t>📋 六维评估量表（教师独立填写 · 唯一输入）</t>
  </si>
  <si>
    <t>每题按 1（非常不符合）~ 5（非常符合）评分；共 6 维度 × 5 题 = 30 题。评分越高=家校关系越健康。</t>
  </si>
  <si>
    <t>评估对象(学生/家长)</t>
  </si>
  <si>
    <t/>
  </si>
  <si>
    <t>班主任</t>
  </si>
  <si>
    <t>班级</t>
  </si>
  <si>
    <t>填写日期</t>
  </si>
  <si>
    <t>1. 沟通质量（双向性/及时性）</t>
  </si>
  <si>
    <t>常模参考均分</t>
  </si>
  <si>
    <t>沟通质量</t>
  </si>
  <si>
    <t>我与这位家长能够顺畅、及时地交流孩子的在校情况</t>
  </si>
  <si>
    <t>这位家长会主动向我反馈孩子在家中的表现与变化</t>
  </si>
  <si>
    <t>我与这位家长沟通时氛围轻松，双方都能坦诚表达</t>
  </si>
  <si>
    <t>这位家长能够清晰表达自己对教育的期望与诉求</t>
  </si>
  <si>
    <t>当我有重要信息需要传达时，能够确保有效送达并得到确认</t>
  </si>
  <si>
    <t>本维度均分</t>
  </si>
  <si>
    <t>与常模差值</t>
  </si>
  <si>
    <t>2. 角色边界（职责清晰度）</t>
  </si>
  <si>
    <t>角色边界</t>
  </si>
  <si>
    <t>这位家长能在合适的时间联系我，不打扰我的休息与非工作时间</t>
  </si>
  <si>
    <t>这位家长尊重我在教学与班级事务上的专业主导权</t>
  </si>
  <si>
    <t>这位家长能把握参与的尺度，不过度介入班级内部事务</t>
  </si>
  <si>
    <t>这位家长与我的交往保持恰当的职业距离，不越界</t>
  </si>
  <si>
    <t>这位家长理解并配合学校在家长群、家委会等渠道上的规则</t>
  </si>
  <si>
    <t>3. 教育一致性（价值观/规则协调）</t>
  </si>
  <si>
    <t>教育一致性</t>
  </si>
  <si>
    <t>这位家长认同并接纳学校的教育理念与要求</t>
  </si>
  <si>
    <t>这位家长尊重我的专业判断与教学决策</t>
  </si>
  <si>
    <t>即使存在分歧，这位家长也能配合执行学校的统一安排</t>
  </si>
  <si>
    <t>这位家长在孩子面前维护学校与教师的权威，不唱反调</t>
  </si>
  <si>
    <t>这位家长在家庭教育中能与学校要求保持一致、形成合力</t>
  </si>
  <si>
    <t>4. 信任关系（尊重/心理安全感）</t>
  </si>
  <si>
    <t>信任关系</t>
  </si>
  <si>
    <t>我信任这位家长在孩子教育上的判断力</t>
  </si>
  <si>
    <t>我相信这位家长会履行与学校达成的约定</t>
  </si>
  <si>
    <t>我认为这位家长诚实可靠、言出必行</t>
  </si>
  <si>
    <t>即使有分歧，我仍相信这位家长的出发点是为孩子好</t>
  </si>
  <si>
    <t>我相信这位家长会优先把孩子利益放在首位</t>
  </si>
  <si>
    <t>5. 参与效能（实际效果与感知）</t>
  </si>
  <si>
    <t>参与效能</t>
  </si>
  <si>
    <t>当我提出建议时，这位家长会积极回应而非敷衍</t>
  </si>
  <si>
    <t>这位家长能将我的反馈转化为实际的教育行动</t>
  </si>
  <si>
    <t>孩子出现问题时，这位家长能及时配合解决</t>
  </si>
  <si>
    <t>这位家长重视并采纳我给出的教育建议</t>
  </si>
  <si>
    <t>这位家长在家庭教育中的配合能见到实际改善效果</t>
  </si>
  <si>
    <t>6. 危机响应（突发事件协同）</t>
  </si>
  <si>
    <t>危机响应</t>
  </si>
  <si>
    <t>当孩子出现突发状况时，这位家长能保持冷静、理性沟通</t>
  </si>
  <si>
    <t>这位家长在危机时刻愿意配合学校的处置安排</t>
  </si>
  <si>
    <t>这位家长不会在危机中情绪化地指责或推诿责任</t>
  </si>
  <si>
    <t>这位家长能在危机后与我共同复盘、落实预防措施</t>
  </si>
  <si>
    <t>这位家长信任学校在危机处理中的专业性，不激化矛盾</t>
  </si>
  <si>
    <t>备注</t>
  </si>
  <si>
    <t>📊 诊断与双维分类报告（依据评估量表自动生成）</t>
  </si>
  <si>
    <t>上半部：六维诊断（均分→风险等级→风险总分→干预级别）；下半部：双维分类定位</t>
  </si>
  <si>
    <t>一、六维诊断（健康/风险双视图）</t>
  </si>
  <si>
    <t>维度</t>
  </si>
  <si>
    <t>教师均分</t>
  </si>
  <si>
    <t>风险等级</t>
  </si>
  <si>
    <t>等级描述(由均分换算)</t>
  </si>
  <si>
    <t>维度干预级别</t>
  </si>
  <si>
    <t>风险总分(6–30)</t>
  </si>
  <si>
    <t>综合干预级别</t>
  </si>
  <si>
    <t>触发条件</t>
  </si>
  <si>
    <t>建议动作</t>
  </si>
  <si>
    <t>📌 核心干预建议</t>
  </si>
  <si>
    <t>二、双维分类评定（S型 × P型 × A-E级）</t>
  </si>
  <si>
    <t>学生分类 (S型)</t>
  </si>
  <si>
    <t>S2</t>
  </si>
  <si>
    <t>亲子关系 (P型)</t>
  </si>
  <si>
    <t>P2</t>
  </si>
  <si>
    <t>家校关系 (A-E级)</t>
  </si>
  <si>
    <t>C</t>
  </si>
  <si>
    <t>P型基准</t>
  </si>
  <si>
    <t>典型画像与核心策略</t>
  </si>
  <si>
    <t>（以下为双维分类选项对照表，仅供公式引用）</t>
  </si>
  <si>
    <t>代码</t>
  </si>
  <si>
    <t>名称</t>
  </si>
  <si>
    <t>S1</t>
  </si>
  <si>
    <t>S1 自主卓越型</t>
  </si>
  <si>
    <t>S2 稳定发展型</t>
  </si>
  <si>
    <t>S3</t>
  </si>
  <si>
    <t>S3 潜力未发型</t>
  </si>
  <si>
    <t>S4</t>
  </si>
  <si>
    <t>S4 适应困难型</t>
  </si>
  <si>
    <t>S5</t>
  </si>
  <si>
    <t>S5 高风险预警型</t>
  </si>
  <si>
    <t>S6</t>
  </si>
  <si>
    <t>S6 危机紧急型</t>
  </si>
  <si>
    <t>P1-A</t>
  </si>
  <si>
    <t>P1-A 协同·积极高效</t>
  </si>
  <si>
    <t>P1-B</t>
  </si>
  <si>
    <t>P1-B 协同·积极低效</t>
  </si>
  <si>
    <t>P1-C</t>
  </si>
  <si>
    <t>P1-C 协同·被动高效</t>
  </si>
  <si>
    <t>P1-D</t>
  </si>
  <si>
    <t>P1-D 协同·被动低效</t>
  </si>
  <si>
    <t>P2 过度干预型</t>
  </si>
  <si>
    <t>P3</t>
  </si>
  <si>
    <t>P3 缺位型</t>
  </si>
  <si>
    <t>P4</t>
  </si>
  <si>
    <t>P4 溺爱包庇型</t>
  </si>
  <si>
    <t>P5</t>
  </si>
  <si>
    <t>P5 简单粗暴型</t>
  </si>
  <si>
    <t>A</t>
  </si>
  <si>
    <t>A 核心标杆型</t>
  </si>
  <si>
    <t>B</t>
  </si>
  <si>
    <t>B 积极配合型</t>
  </si>
  <si>
    <t>C 中性观望型</t>
  </si>
  <si>
    <t>D</t>
  </si>
  <si>
    <t>D 重点关注型</t>
  </si>
  <si>
    <t>E</t>
  </si>
  <si>
    <t>E 负面干扰型</t>
  </si>
  <si>
    <t>📖 维度参考与规则速查（融合 V2.0）</t>
  </si>
  <si>
    <t>一、六维风险分级描述表（1级关注 → 5级极重；等级越高问题越严重）</t>
  </si>
  <si>
    <t>1级(关注)</t>
  </si>
  <si>
    <t>2级(轻度)</t>
  </si>
  <si>
    <t>3级(中度)</t>
  </si>
  <si>
    <t>4级(重度)</t>
  </si>
  <si>
    <t>5级(极重)</t>
  </si>
  <si>
    <t>偶尔不畅，可补位</t>
  </si>
  <si>
    <t>系统性单向，反馈受限</t>
  </si>
  <si>
    <t>长期单向，误解频繁</t>
  </si>
  <si>
    <t>严重障碍，多渠道失效</t>
  </si>
  <si>
    <t>完全断裂，无法触及</t>
  </si>
  <si>
    <t>偶有模糊，可协商</t>
  </si>
  <si>
    <t>越界初现，试探替代</t>
  </si>
  <si>
    <t>越界/缺位反复出现</t>
  </si>
  <si>
    <t>严重错乱，持续替代</t>
  </si>
  <si>
    <t>完全崩塌，强行取代</t>
  </si>
  <si>
    <t>偶有分歧，可化解</t>
  </si>
  <si>
    <t>规则偶尔矛盾，可协商</t>
  </si>
  <si>
    <t>规则矛盾，学生两面性</t>
  </si>
  <si>
    <t>理念深层冲突，公开否定</t>
  </si>
  <si>
    <t>理念根本对立，对抗阵营</t>
  </si>
  <si>
    <t>偶尔猜疑，合作未受影响</t>
  </si>
  <si>
    <t>选择性信任，部分存疑</t>
  </si>
  <si>
    <t>经常私下求证，基础动摇</t>
  </si>
  <si>
    <t>信任崩塌，预设恶意</t>
  </si>
  <si>
    <t>完全丧失，敌意常态化</t>
  </si>
  <si>
    <t>不充分但态度积极</t>
  </si>
  <si>
    <t>形式化，效果有限</t>
  </si>
  <si>
    <t>无效或偏离目标</t>
  </si>
  <si>
    <t>产生负效应，干扰教育</t>
  </si>
  <si>
    <t>完全退出或恶意破坏</t>
  </si>
  <si>
    <t>偶有不当，可修正</t>
  </si>
  <si>
    <t>响应滞后 24-48h</t>
  </si>
  <si>
    <t>机制缺失，延误 &gt;48h</t>
  </si>
  <si>
    <t>一方利用攻击另一方</t>
  </si>
  <si>
    <t>对抗升级，安全风险显现</t>
  </si>
  <si>
    <t>二、风险等级换算规则（评估量表维度均分 → 风险等级）</t>
  </si>
  <si>
    <t>均分区间</t>
  </si>
  <si>
    <t>含义</t>
  </si>
  <si>
    <t>≥ 4.0</t>
  </si>
  <si>
    <t>1级</t>
  </si>
  <si>
    <t>健康/低风险</t>
  </si>
  <si>
    <t>3.0 – 3.9</t>
  </si>
  <si>
    <t>2级</t>
  </si>
  <si>
    <t>轻度风险·关注</t>
  </si>
  <si>
    <t>2.0 – 2.9</t>
  </si>
  <si>
    <t>3级</t>
  </si>
  <si>
    <t>中度风险</t>
  </si>
  <si>
    <t>1.0 – 1.9</t>
  </si>
  <si>
    <t>4级</t>
  </si>
  <si>
    <t>重度风险</t>
  </si>
  <si>
    <t>&lt; 1.0</t>
  </si>
  <si>
    <t>5级</t>
  </si>
  <si>
    <t>极重风险</t>
  </si>
  <si>
    <t>三、风险总分判定决策树（六维风险等级合计 6–30）</t>
  </si>
  <si>
    <t>总分区间</t>
  </si>
  <si>
    <t>干预级别</t>
  </si>
  <si>
    <t>6–10</t>
  </si>
  <si>
    <t>Y类 0项</t>
  </si>
  <si>
    <t>常态观察与维持</t>
  </si>
  <si>
    <t>11–15</t>
  </si>
  <si>
    <t>Y类 ≥1-2</t>
  </si>
  <si>
    <t>班主任关注（基础预防）</t>
  </si>
  <si>
    <t>16–20</t>
  </si>
  <si>
    <t>O≥1 或 Y≥3-4</t>
  </si>
  <si>
    <t>班主任+年级组（普及干预）</t>
  </si>
  <si>
    <t>21–25</t>
  </si>
  <si>
    <t>O≥2 或 Y≥5</t>
  </si>
  <si>
    <t>定向干预组（班主任+心理教师+年级主任）</t>
  </si>
  <si>
    <t>26–28</t>
  </si>
  <si>
    <t>O≥3</t>
  </si>
  <si>
    <t>强化干预组（心理团队+年级主任+管理层）</t>
  </si>
  <si>
    <t>29–30</t>
  </si>
  <si>
    <t>R类任一命中</t>
  </si>
  <si>
    <t>危机响应组（管理层+心理团队+外部专家）</t>
  </si>
  <si>
    <t>四、双维分类选项</t>
  </si>
  <si>
    <t>学生分类(S型)</t>
  </si>
  <si>
    <t>S1 自主卓越型；S2 稳定发展型；S3 潜力未发型；S4 适应困难型；S5 高风险预警型；S6 危机紧急型</t>
  </si>
  <si>
    <t>亲子关系(P型)</t>
  </si>
  <si>
    <t>P1-A 协同·积极高效；P1-B 协同·积极低效；P1-C 协同·被动高效；P1-D 协同·被动低效；P2 过度干预型；P3 缺位型；P4 溺爱包庇型；P5 简单粗暴型</t>
  </si>
  <si>
    <t>家校关系(A-E级)</t>
  </si>
  <si>
    <t>A 核心标杆型；B 积极配合型；C 中性观望型；D 重点关注型；E 负面干扰型</t>
  </si>
  <si>
    <t>五、双维交叉定位逻辑（以家校关系为枢纽，基于手册4.4）</t>
  </si>
  <si>
    <t>家校关系=E 且 (P3缺位 / P5简单粗暴)：负面干扰型 → 专项管控+法务介入+全程留痕（E级专项）</t>
  </si>
  <si>
    <t>家校关系=E（其他组合）：负面干扰型 → 按E级专项管控，德育处对接，班主任不单独应对</t>
  </si>
  <si>
    <t>S1/S2 且 (P1-A/P1-C) 且 A/B：高知型/协同标杆 → 专业对话+理念交流+UPR引导</t>
  </si>
  <si>
    <t>S1/S3 且 (P2过度干预 / P1-B) 且 C/D：过度干预型 → 容器理论+替代参与+边界守护</t>
  </si>
  <si>
    <t>S3/S4/S5 且 P3缺位 且 C：缺位型 → 低门槛激活+容器修复+自我接纳</t>
  </si>
  <si>
    <t>6</t>
  </si>
  <si>
    <t>S3/S5 且 P4溺爱包庇 且 D：溺爱包庇型 → 明确规则+温和坚定+边界建立</t>
  </si>
  <si>
    <t>7</t>
  </si>
  <si>
    <t>S4/S5 且 P5简单粗暴 且 D/E：简单粗暴型 → 儿童保护+上报+停伤害+专业转介</t>
  </si>
  <si>
    <t>8</t>
  </si>
  <si>
    <t>兜底（按家校关系）：A/B→积极合作导向；C→中性观望/被动配合；D→重点关注/潜在风险；其余→待定组合</t>
  </si>
  <si>
    <t>六、维度参考：常模说明 · 典型问题 · 必要条件</t>
  </si>
  <si>
    <t>常模参考说明</t>
  </si>
  <si>
    <t>典型问题（维度偏低时表现）</t>
  </si>
  <si>
    <t>必要条件（健康的前提）</t>
  </si>
  <si>
    <t>常模参考均分 4.0（满分5）
代表健康基线，可由学校依历年数据或区域常模校准；均分≥常模为正常，明显低于常模需关注。</t>
  </si>
  <si>
    <t>• 信息传递滞后或失真，重要事项无法及时触达家长
• 家长被动等待通知，缺乏主动反馈，教师难掌握家庭端情况
• 沟通氛围紧张，双方回避或防御性表达，问题被掩盖</t>
  </si>
  <si>
    <t>• 建立稳定、固定的沟通渠道与联系节奏（如每周反馈机制）
• 教师主动发起正向沟通，积累信任后再谈问题
• 明确重要信息的送达与确认流程（如回执/已读确认）</t>
  </si>
  <si>
    <t>• 非工作时间频繁打扰，教师边界被持续侵蚀
• 过度介入班级事务或替教师做决策，干扰正常教学秩序
• 在公开渠道（群聊）发布越界言论，引发其他家长效仿</t>
  </si>
  <si>
    <t>• 开学初明确沟通时段、渠道与响应预期的边界协议
• 厘清家校职责分工，尊重教师专业决策空间
• 对家长群/家委会等公共空间设定并公示使用规范</t>
  </si>
  <si>
    <t>• 家校要求互相矛盾，孩子在两端被拉扯、无所适从
• 家长在孩子面前否定教师，削弱教育权威与配合度
• 因理念冲突导致学校安排在家无法落地</t>
  </si>
  <si>
    <t>• 开学初就教育理念、规则与期望与家长充分对齐
• 出现分歧时先私下沟通达成共识，再统一对孩子口径
• 为家长提供可操作的家庭配合指引，降低执行门槛</t>
  </si>
  <si>
    <t>• 双方互相猜疑，任何举措都被解读为不怀好意
• 家长不履约，约定形同虚设，协作难以推进
• 信任缺失导致危机时对立激化，难以协同</t>
  </si>
  <si>
    <t>• 以小事守信积累信任，承诺必兑现
• 保持透明，重大事项主动告知并说明缘由
• 冲突时先确认对方善意动机，再处理问题本身</t>
  </si>
  <si>
    <t>• 口头答应但无行动，建议停留在纸面
• 问题反复出现，配合缺乏持续性与闭环
• 家长参与度低，教师单方面费力难见效</t>
  </si>
  <si>
    <t>• 建议具体、可执行、有期限，并约定反馈节点
• 对家长的微小进步及时肯定，强化持续参与
• 建立家校配合的跟踪与复盘机制，形成闭环</t>
  </si>
  <si>
    <t>• 危机时情绪失控、指责教师，矛盾迅速升级
• 拒绝配合处置或撒手不管，风险进一步扩大
• 危机后无复盘，同类问题周期性重演</t>
  </si>
  <si>
    <t>• 提前与家长约定危机联络人与应急响应流程
• 危机中先共情、给确定性，再谈事实与方案
• 事后共同复盘并沉淀预防措施，转危为机</t>
  </si>
</sst>
</file>

<file path=xl/styles.xml><?xml version="1.0" encoding="utf-8"?>
<styleSheet xmlns="http://schemas.openxmlformats.org/spreadsheetml/2006/main">
  <numFmts count="38">
    <numFmt numFmtId="44" formatCode="_ &quot;￥&quot;* #,##0.00_ ;_ &quot;￥&quot;* \-#,##0.00_ ;_ &quot;￥&quot;* &quot;-&quot;??_ ;_ @_ "/>
    <numFmt numFmtId="6" formatCode="&quot;￥&quot;#,##0;[Red]&quot;￥&quot;\-#,##0"/>
    <numFmt numFmtId="42" formatCode="_ &quot;￥&quot;* #,##0_ ;_ &quot;￥&quot;* \-#,##0_ ;_ &quot;￥&quot;* &quot;-&quot;_ ;_ @_ "/>
    <numFmt numFmtId="23" formatCode="\$#,##0_);\(\$#,##0\)"/>
    <numFmt numFmtId="176" formatCode="mmmm\-yy"/>
    <numFmt numFmtId="5" formatCode="&quot;￥&quot;#,##0;&quot;￥&quot;\-#,##0"/>
    <numFmt numFmtId="7" formatCode="&quot;￥&quot;#,##0.00;&quot;￥&quot;\-#,##0.00"/>
    <numFmt numFmtId="25" formatCode="\$#,##0.00_);\(\$#,##0.00\)"/>
    <numFmt numFmtId="177" formatCode="\¥#,##0.00;[Red]\¥\-#,##0.00"/>
    <numFmt numFmtId="178" formatCode="[DBNum1][$-804]m&quot;月&quot;d&quot;日&quot;"/>
    <numFmt numFmtId="8" formatCode="&quot;￥&quot;#,##0.00;[Red]&quot;￥&quot;\-#,##0.00"/>
    <numFmt numFmtId="179" formatCode="dd\-mmm\-yy"/>
    <numFmt numFmtId="180" formatCode="yyyy/m/d\ h:mm\ AM/PM"/>
    <numFmt numFmtId="181" formatCode="mm/dd/yy"/>
    <numFmt numFmtId="182" formatCode="yy/m/d"/>
    <numFmt numFmtId="183" formatCode="m/d"/>
    <numFmt numFmtId="184" formatCode="[DBNum1][$-804]yyyy&quot;年&quot;m&quot;月&quot;"/>
    <numFmt numFmtId="185" formatCode="mmmmm\-yy"/>
    <numFmt numFmtId="186" formatCode="mmmmm"/>
    <numFmt numFmtId="187" formatCode="#\ ??/??"/>
    <numFmt numFmtId="188" formatCode="h:mm\ AM/PM"/>
    <numFmt numFmtId="189" formatCode="_(&quot;$&quot;* #,##0.00_);_(&quot;$&quot;* \(#,##0.00\);_(&quot;$&quot;* &quot;-&quot;??_);_(@_)"/>
    <numFmt numFmtId="26" formatCode="\$#,##0.00_);[Red]\(\$#,##0.00\)"/>
    <numFmt numFmtId="190" formatCode="[DBNum1]h&quot;时&quot;mm&quot;分&quot;"/>
    <numFmt numFmtId="191" formatCode="h:mm:ss\ AM/PM"/>
    <numFmt numFmtId="192" formatCode="[$-804]aaa"/>
    <numFmt numFmtId="24" formatCode="\$#,##0_);[Red]\(\$#,##0\)"/>
    <numFmt numFmtId="193" formatCode="\¥#,##0;[Red]\¥\-#,##0"/>
    <numFmt numFmtId="194" formatCode="#\ ??"/>
    <numFmt numFmtId="195" formatCode="[DBNum1]上午/下午h&quot;时&quot;mm&quot;分&quot;"/>
    <numFmt numFmtId="196" formatCode="\¥#,##0;\¥\-#,##0"/>
    <numFmt numFmtId="197" formatCode="[DBNum1][$-804]yyyy&quot;年&quot;m&quot;月&quot;d&quot;日&quot;"/>
    <numFmt numFmtId="198" formatCode="\¥#,##0.00;\¥\-#,##0.00"/>
    <numFmt numFmtId="199" formatCode="[$-804]aaaa"/>
    <numFmt numFmtId="41" formatCode="_ * #,##0_ ;_ * \-#,##0_ ;_ * &quot;-&quot;_ ;_ @_ "/>
    <numFmt numFmtId="200" formatCode="#\ ?/?"/>
    <numFmt numFmtId="43" formatCode="_ * #,##0.00_ ;_ * \-#,##0.00_ ;_ * &quot;-&quot;??_ ;_ @_ "/>
    <numFmt numFmtId="201" formatCode="_(&quot;$&quot;* #,##0_);_(&quot;$&quot;* \(#,##0\);_(&quot;$&quot;* &quot;-&quot;_);_(@_)"/>
  </numFmts>
  <fonts count="28">
    <font>
      <sz val="11"/>
      <color theme="1"/>
      <name val="宋体"/>
      <charset val="134"/>
      <scheme val="minor"/>
    </font>
    <font>
      <b/>
      <sz val="15"/>
      <color rgb="FF0B1C3A"/>
      <name val="微软雅黑"/>
      <charset val="134"/>
    </font>
    <font>
      <b/>
      <sz val="10.5"/>
      <color rgb="FF1A2332"/>
      <name val="微软雅黑"/>
      <charset val="134"/>
    </font>
    <font>
      <b/>
      <sz val="11"/>
      <color rgb="FFFFFFFF"/>
      <name val="微软雅黑"/>
      <charset val="134"/>
    </font>
    <font>
      <sz val="10.5"/>
      <color rgb="FF1A2332"/>
      <name val="微软雅黑"/>
      <charset val="134"/>
    </font>
    <font>
      <sz val="10"/>
      <color rgb="FF5E6F88"/>
      <name val="微软雅黑"/>
      <charset val="134"/>
    </font>
    <font>
      <b/>
      <sz val="12"/>
      <color rgb="FF0B1C3A"/>
      <name val="微软雅黑"/>
      <charset val="134"/>
    </font>
    <font>
      <b/>
      <sz val="11"/>
      <color rgb="FF2B6EF0"/>
      <name val="微软雅黑"/>
      <charset val="134"/>
    </font>
    <font>
      <sz val="9.5"/>
      <color rgb="FF5E6F88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B6EF0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0FF"/>
        <bgColor indexed="64"/>
      </patternFill>
    </fill>
    <fill>
      <patternFill patternType="solid">
        <fgColor rgb="FFF3F7F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DCE3EC"/>
      </left>
      <right style="thin">
        <color rgb="FFDCE3EC"/>
      </right>
      <top style="thin">
        <color rgb="FFDCE3EC"/>
      </top>
      <bottom style="thin">
        <color rgb="FFDCE3EC"/>
      </bottom>
      <diagonal/>
    </border>
    <border>
      <left/>
      <right/>
      <top style="thin">
        <color rgb="FFDCE3EC"/>
      </top>
      <bottom style="thin">
        <color rgb="FFDCE3EC"/>
      </bottom>
      <diagonal/>
    </border>
    <border>
      <left/>
      <right style="thin">
        <color rgb="FFDCE3EC"/>
      </right>
      <top style="thin">
        <color rgb="FFDCE3EC"/>
      </top>
      <bottom style="thin">
        <color rgb="FFDCE3EC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23" fillId="31" borderId="7" applyNumberForma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23" borderId="7" applyNumberFormat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201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2" xfId="0" applyBorder="1"/>
    <xf numFmtId="0" fontId="7" fillId="9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3" xfId="0" applyBorder="1"/>
    <xf numFmtId="0" fontId="8" fillId="0" borderId="0" xfId="0" applyFont="1"/>
    <xf numFmtId="0" fontId="4" fillId="0" borderId="1" xfId="0" applyFont="1" applyBorder="1"/>
    <xf numFmtId="0" fontId="4" fillId="9" borderId="1" xfId="0" applyFont="1" applyFill="1" applyBorder="1"/>
    <xf numFmtId="0" fontId="6" fillId="10" borderId="1" xfId="0" applyFont="1" applyFill="1" applyBorder="1" applyAlignment="1">
      <alignment horizontal="left" vertical="center" wrapText="1"/>
    </xf>
    <xf numFmtId="0" fontId="0" fillId="0" borderId="1" xfId="0" applyBorder="1"/>
    <xf numFmtId="0" fontId="8" fillId="10" borderId="1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right" vertical="center"/>
    </xf>
    <xf numFmtId="0" fontId="7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6">
    <dxf>
      <fill>
        <patternFill patternType="solid">
          <fgColor rgb="FFE0F2FE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9C3"/>
        </patternFill>
      </fill>
    </dxf>
    <dxf>
      <fill>
        <patternFill patternType="solid">
          <fgColor rgb="FFFFEDD5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268;&#21017;&#36895;&#26597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8"/>
  <sheetViews>
    <sheetView showGridLines="0" topLeftCell="A14" workbookViewId="0">
      <selection activeCell="C10" sqref="C10"/>
    </sheetView>
  </sheetViews>
  <sheetFormatPr defaultColWidth="9" defaultRowHeight="13.5" outlineLevelCol="2"/>
  <cols>
    <col min="1" max="1" width="3" customWidth="1"/>
    <col min="2" max="2" width="26" customWidth="1"/>
    <col min="3" max="3" width="92" customWidth="1"/>
  </cols>
  <sheetData>
    <row r="2" ht="21.75" spans="2:2">
      <c r="B2" s="1" t="s">
        <v>0</v>
      </c>
    </row>
    <row r="3" ht="16.5" spans="2:2">
      <c r="B3" s="17" t="s">
        <v>1</v>
      </c>
    </row>
    <row r="5" ht="34" customHeight="1" spans="2:3">
      <c r="B5" s="26" t="s">
        <v>2</v>
      </c>
      <c r="C5" s="38" t="s">
        <v>3</v>
      </c>
    </row>
    <row r="6" ht="34" customHeight="1" spans="2:3">
      <c r="B6" s="26" t="s">
        <v>4</v>
      </c>
      <c r="C6" s="38" t="s">
        <v>5</v>
      </c>
    </row>
    <row r="7" ht="55" customHeight="1" spans="2:3">
      <c r="B7" s="26" t="s">
        <v>6</v>
      </c>
      <c r="C7" s="38" t="s">
        <v>7</v>
      </c>
    </row>
    <row r="8" ht="46" customHeight="1" spans="2:3">
      <c r="B8" s="26" t="s">
        <v>8</v>
      </c>
      <c r="C8" s="38" t="s">
        <v>9</v>
      </c>
    </row>
    <row r="9" ht="34" customHeight="1" spans="2:3">
      <c r="B9" s="26" t="s">
        <v>10</v>
      </c>
      <c r="C9" s="38" t="s">
        <v>11</v>
      </c>
    </row>
    <row r="10" ht="34" customHeight="1" spans="2:3">
      <c r="B10" s="26" t="s">
        <v>12</v>
      </c>
      <c r="C10" s="38" t="s">
        <v>13</v>
      </c>
    </row>
    <row r="12" ht="15.75" spans="2:2">
      <c r="B12" s="2" t="s">
        <v>14</v>
      </c>
    </row>
    <row r="13" ht="17.25" spans="2:3">
      <c r="B13" s="39" t="s">
        <v>15</v>
      </c>
      <c r="C13" s="15" t="s">
        <v>16</v>
      </c>
    </row>
    <row r="14" ht="17.25" spans="2:3">
      <c r="B14" s="39" t="s">
        <v>17</v>
      </c>
      <c r="C14" s="15" t="s">
        <v>18</v>
      </c>
    </row>
    <row r="15" ht="17.25" spans="2:3">
      <c r="B15" s="39" t="s">
        <v>19</v>
      </c>
      <c r="C15" s="15" t="s">
        <v>20</v>
      </c>
    </row>
    <row r="16" ht="17.25" spans="2:3">
      <c r="B16" s="39" t="s">
        <v>21</v>
      </c>
      <c r="C16" s="15" t="s">
        <v>22</v>
      </c>
    </row>
    <row r="17" ht="17.25" spans="2:3">
      <c r="B17" s="39" t="s">
        <v>23</v>
      </c>
      <c r="C17" s="15" t="s">
        <v>24</v>
      </c>
    </row>
    <row r="19" ht="15.75" spans="2:2">
      <c r="B19" s="2" t="s">
        <v>25</v>
      </c>
    </row>
    <row r="20" ht="24" customHeight="1" spans="2:3">
      <c r="B20" s="40" t="s">
        <v>26</v>
      </c>
      <c r="C20" s="41" t="s">
        <v>27</v>
      </c>
    </row>
    <row r="21" ht="24" customHeight="1" spans="2:3">
      <c r="B21" s="42" t="s">
        <v>28</v>
      </c>
      <c r="C21" s="43" t="s">
        <v>29</v>
      </c>
    </row>
    <row r="22" ht="24" customHeight="1" spans="2:3">
      <c r="B22" s="44" t="s">
        <v>30</v>
      </c>
      <c r="C22" s="45" t="s">
        <v>31</v>
      </c>
    </row>
    <row r="23" ht="24" customHeight="1" spans="2:3">
      <c r="B23" s="46" t="s">
        <v>32</v>
      </c>
      <c r="C23" s="47" t="s">
        <v>33</v>
      </c>
    </row>
    <row r="24" ht="24" customHeight="1" spans="2:3">
      <c r="B24" s="48" t="s">
        <v>34</v>
      </c>
      <c r="C24" s="49" t="s">
        <v>35</v>
      </c>
    </row>
    <row r="25" ht="24" customHeight="1" spans="2:3">
      <c r="B25" s="50" t="s">
        <v>36</v>
      </c>
      <c r="C25" s="51" t="s">
        <v>37</v>
      </c>
    </row>
    <row r="27" ht="15.75" spans="2:2">
      <c r="B27" s="2" t="s">
        <v>38</v>
      </c>
    </row>
    <row r="28" ht="51.75" spans="2:2">
      <c r="B28" s="15" t="s">
        <v>39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showGridLines="0" workbookViewId="0">
      <pane ySplit="5" topLeftCell="A53" activePane="bottomLeft" state="frozen"/>
      <selection/>
      <selection pane="bottomLeft" activeCell="F64" sqref="F64"/>
    </sheetView>
  </sheetViews>
  <sheetFormatPr defaultColWidth="9" defaultRowHeight="13.5" outlineLevelCol="4"/>
  <cols>
    <col min="1" max="1" width="6" customWidth="1"/>
    <col min="2" max="2" width="12" customWidth="1"/>
    <col min="3" max="3" width="60" customWidth="1"/>
    <col min="4" max="4" width="11" customWidth="1"/>
    <col min="5" max="5" width="12" customWidth="1"/>
    <col min="6" max="6" width="24" customWidth="1"/>
  </cols>
  <sheetData>
    <row r="1" ht="21.75" spans="1:1">
      <c r="A1" s="1" t="s">
        <v>40</v>
      </c>
    </row>
    <row r="2" ht="16.5" spans="1:1">
      <c r="A2" s="17" t="s">
        <v>41</v>
      </c>
    </row>
    <row r="4" ht="63" spans="1:5">
      <c r="A4" s="20" t="s">
        <v>42</v>
      </c>
      <c r="B4" s="30" t="s">
        <v>43</v>
      </c>
      <c r="D4" s="20" t="s">
        <v>44</v>
      </c>
      <c r="E4" s="30" t="s">
        <v>43</v>
      </c>
    </row>
    <row r="5" ht="17.25" spans="1:5">
      <c r="A5" s="20" t="s">
        <v>45</v>
      </c>
      <c r="B5" s="30" t="s">
        <v>43</v>
      </c>
      <c r="D5" s="20" t="s">
        <v>46</v>
      </c>
      <c r="E5" s="30" t="s">
        <v>43</v>
      </c>
    </row>
    <row r="7" ht="18" spans="1:5">
      <c r="A7" s="31" t="s">
        <v>47</v>
      </c>
      <c r="B7" s="32"/>
      <c r="C7" s="32"/>
      <c r="D7" s="33" t="s">
        <v>48</v>
      </c>
      <c r="E7" s="23">
        <v>4</v>
      </c>
    </row>
    <row r="8" ht="28" customHeight="1" spans="1:5">
      <c r="A8" s="7">
        <v>1</v>
      </c>
      <c r="B8" s="25" t="s">
        <v>49</v>
      </c>
      <c r="C8" s="8" t="s">
        <v>50</v>
      </c>
      <c r="D8" s="23"/>
      <c r="E8" s="32"/>
    </row>
    <row r="9" ht="28" customHeight="1" spans="1:5">
      <c r="A9" s="7">
        <v>2</v>
      </c>
      <c r="B9" s="25" t="s">
        <v>49</v>
      </c>
      <c r="C9" s="8" t="s">
        <v>51</v>
      </c>
      <c r="D9" s="23"/>
      <c r="E9" s="32"/>
    </row>
    <row r="10" ht="28" customHeight="1" spans="1:5">
      <c r="A10" s="7">
        <v>3</v>
      </c>
      <c r="B10" s="25" t="s">
        <v>49</v>
      </c>
      <c r="C10" s="8" t="s">
        <v>52</v>
      </c>
      <c r="D10" s="23"/>
      <c r="E10" s="32"/>
    </row>
    <row r="11" ht="28" customHeight="1" spans="1:5">
      <c r="A11" s="7">
        <v>4</v>
      </c>
      <c r="B11" s="25" t="s">
        <v>49</v>
      </c>
      <c r="C11" s="8" t="s">
        <v>53</v>
      </c>
      <c r="D11" s="23"/>
      <c r="E11" s="32"/>
    </row>
    <row r="12" ht="28" customHeight="1" spans="1:5">
      <c r="A12" s="7">
        <v>5</v>
      </c>
      <c r="B12" s="25" t="s">
        <v>49</v>
      </c>
      <c r="C12" s="8" t="s">
        <v>54</v>
      </c>
      <c r="D12" s="23"/>
      <c r="E12" s="32"/>
    </row>
    <row r="13" ht="15.75" spans="3:4">
      <c r="C13" s="34" t="s">
        <v>55</v>
      </c>
      <c r="D13" s="35" t="e">
        <f>ROUND(AVERAGE(D8:D12),1)</f>
        <v>#DIV/0!</v>
      </c>
    </row>
    <row r="14" ht="17.25" spans="3:4">
      <c r="C14" s="34" t="s">
        <v>56</v>
      </c>
      <c r="D14" s="36" t="e">
        <f>ROUND(D13-E7,1)</f>
        <v>#DIV/0!</v>
      </c>
    </row>
    <row r="16" ht="18" spans="1:5">
      <c r="A16" s="31" t="s">
        <v>57</v>
      </c>
      <c r="B16" s="32"/>
      <c r="C16" s="32"/>
      <c r="D16" s="33" t="s">
        <v>48</v>
      </c>
      <c r="E16" s="23">
        <v>4</v>
      </c>
    </row>
    <row r="17" ht="28" customHeight="1" spans="1:5">
      <c r="A17" s="7">
        <v>6</v>
      </c>
      <c r="B17" s="25" t="s">
        <v>58</v>
      </c>
      <c r="C17" s="8" t="s">
        <v>59</v>
      </c>
      <c r="D17" s="23"/>
      <c r="E17" s="32"/>
    </row>
    <row r="18" ht="28" customHeight="1" spans="1:5">
      <c r="A18" s="7">
        <v>7</v>
      </c>
      <c r="B18" s="25" t="s">
        <v>58</v>
      </c>
      <c r="C18" s="8" t="s">
        <v>60</v>
      </c>
      <c r="D18" s="23"/>
      <c r="E18" s="32"/>
    </row>
    <row r="19" ht="28" customHeight="1" spans="1:5">
      <c r="A19" s="7">
        <v>8</v>
      </c>
      <c r="B19" s="25" t="s">
        <v>58</v>
      </c>
      <c r="C19" s="8" t="s">
        <v>61</v>
      </c>
      <c r="D19" s="23"/>
      <c r="E19" s="32"/>
    </row>
    <row r="20" ht="28" customHeight="1" spans="1:5">
      <c r="A20" s="7">
        <v>9</v>
      </c>
      <c r="B20" s="25" t="s">
        <v>58</v>
      </c>
      <c r="C20" s="8" t="s">
        <v>62</v>
      </c>
      <c r="D20" s="23"/>
      <c r="E20" s="32"/>
    </row>
    <row r="21" ht="28" customHeight="1" spans="1:5">
      <c r="A21" s="7">
        <v>10</v>
      </c>
      <c r="B21" s="25" t="s">
        <v>58</v>
      </c>
      <c r="C21" s="8" t="s">
        <v>63</v>
      </c>
      <c r="D21" s="23"/>
      <c r="E21" s="32"/>
    </row>
    <row r="22" ht="15.75" spans="3:4">
      <c r="C22" s="34" t="s">
        <v>55</v>
      </c>
      <c r="D22" s="35" t="e">
        <f>ROUND(AVERAGE(D17:D21),1)</f>
        <v>#DIV/0!</v>
      </c>
    </row>
    <row r="23" ht="17.25" spans="3:4">
      <c r="C23" s="34" t="s">
        <v>56</v>
      </c>
      <c r="D23" s="36" t="e">
        <f>ROUND(D22-E16,1)</f>
        <v>#DIV/0!</v>
      </c>
    </row>
    <row r="25" ht="18" spans="1:5">
      <c r="A25" s="31" t="s">
        <v>64</v>
      </c>
      <c r="B25" s="32"/>
      <c r="C25" s="32"/>
      <c r="D25" s="33" t="s">
        <v>48</v>
      </c>
      <c r="E25" s="23">
        <v>4</v>
      </c>
    </row>
    <row r="26" ht="28" customHeight="1" spans="1:5">
      <c r="A26" s="7">
        <v>11</v>
      </c>
      <c r="B26" s="25" t="s">
        <v>65</v>
      </c>
      <c r="C26" s="8" t="s">
        <v>66</v>
      </c>
      <c r="D26" s="23"/>
      <c r="E26" s="32"/>
    </row>
    <row r="27" ht="28" customHeight="1" spans="1:5">
      <c r="A27" s="7">
        <v>12</v>
      </c>
      <c r="B27" s="25" t="s">
        <v>65</v>
      </c>
      <c r="C27" s="8" t="s">
        <v>67</v>
      </c>
      <c r="D27" s="23"/>
      <c r="E27" s="32"/>
    </row>
    <row r="28" ht="28" customHeight="1" spans="1:5">
      <c r="A28" s="7">
        <v>13</v>
      </c>
      <c r="B28" s="25" t="s">
        <v>65</v>
      </c>
      <c r="C28" s="8" t="s">
        <v>68</v>
      </c>
      <c r="D28" s="23"/>
      <c r="E28" s="32"/>
    </row>
    <row r="29" ht="28" customHeight="1" spans="1:5">
      <c r="A29" s="7">
        <v>14</v>
      </c>
      <c r="B29" s="25" t="s">
        <v>65</v>
      </c>
      <c r="C29" s="8" t="s">
        <v>69</v>
      </c>
      <c r="D29" s="23"/>
      <c r="E29" s="32"/>
    </row>
    <row r="30" ht="28" customHeight="1" spans="1:5">
      <c r="A30" s="7">
        <v>15</v>
      </c>
      <c r="B30" s="25" t="s">
        <v>65</v>
      </c>
      <c r="C30" s="8" t="s">
        <v>70</v>
      </c>
      <c r="D30" s="23"/>
      <c r="E30" s="32"/>
    </row>
    <row r="31" ht="15.75" spans="3:4">
      <c r="C31" s="34" t="s">
        <v>55</v>
      </c>
      <c r="D31" s="35" t="e">
        <f>ROUND(AVERAGE(D26:D30),1)</f>
        <v>#DIV/0!</v>
      </c>
    </row>
    <row r="32" ht="17.25" spans="3:4">
      <c r="C32" s="34" t="s">
        <v>56</v>
      </c>
      <c r="D32" s="36" t="e">
        <f>ROUND(D31-E25,1)</f>
        <v>#DIV/0!</v>
      </c>
    </row>
    <row r="34" ht="18" spans="1:5">
      <c r="A34" s="31" t="s">
        <v>71</v>
      </c>
      <c r="B34" s="32"/>
      <c r="C34" s="32"/>
      <c r="D34" s="33" t="s">
        <v>48</v>
      </c>
      <c r="E34" s="23">
        <v>4</v>
      </c>
    </row>
    <row r="35" ht="28" customHeight="1" spans="1:5">
      <c r="A35" s="7">
        <v>16</v>
      </c>
      <c r="B35" s="25" t="s">
        <v>72</v>
      </c>
      <c r="C35" s="8" t="s">
        <v>73</v>
      </c>
      <c r="D35" s="23"/>
      <c r="E35" s="32"/>
    </row>
    <row r="36" ht="28" customHeight="1" spans="1:5">
      <c r="A36" s="7">
        <v>17</v>
      </c>
      <c r="B36" s="25" t="s">
        <v>72</v>
      </c>
      <c r="C36" s="8" t="s">
        <v>74</v>
      </c>
      <c r="D36" s="23"/>
      <c r="E36" s="32"/>
    </row>
    <row r="37" ht="28" customHeight="1" spans="1:5">
      <c r="A37" s="7">
        <v>18</v>
      </c>
      <c r="B37" s="25" t="s">
        <v>72</v>
      </c>
      <c r="C37" s="8" t="s">
        <v>75</v>
      </c>
      <c r="D37" s="23"/>
      <c r="E37" s="32"/>
    </row>
    <row r="38" ht="28" customHeight="1" spans="1:5">
      <c r="A38" s="7">
        <v>19</v>
      </c>
      <c r="B38" s="25" t="s">
        <v>72</v>
      </c>
      <c r="C38" s="8" t="s">
        <v>76</v>
      </c>
      <c r="D38" s="23"/>
      <c r="E38" s="32"/>
    </row>
    <row r="39" ht="28" customHeight="1" spans="1:5">
      <c r="A39" s="7">
        <v>20</v>
      </c>
      <c r="B39" s="25" t="s">
        <v>72</v>
      </c>
      <c r="C39" s="8" t="s">
        <v>77</v>
      </c>
      <c r="D39" s="23"/>
      <c r="E39" s="32"/>
    </row>
    <row r="40" ht="15.75" spans="3:4">
      <c r="C40" s="34" t="s">
        <v>55</v>
      </c>
      <c r="D40" s="35" t="e">
        <f>ROUND(AVERAGE(D35:D39),1)</f>
        <v>#DIV/0!</v>
      </c>
    </row>
    <row r="41" ht="17.25" spans="3:4">
      <c r="C41" s="34" t="s">
        <v>56</v>
      </c>
      <c r="D41" s="36" t="e">
        <f>ROUND(D40-E34,1)</f>
        <v>#DIV/0!</v>
      </c>
    </row>
    <row r="43" ht="18" spans="1:5">
      <c r="A43" s="31" t="s">
        <v>78</v>
      </c>
      <c r="B43" s="32"/>
      <c r="C43" s="32"/>
      <c r="D43" s="33" t="s">
        <v>48</v>
      </c>
      <c r="E43" s="23">
        <v>4</v>
      </c>
    </row>
    <row r="44" ht="28" customHeight="1" spans="1:5">
      <c r="A44" s="7">
        <v>21</v>
      </c>
      <c r="B44" s="25" t="s">
        <v>79</v>
      </c>
      <c r="C44" s="8" t="s">
        <v>80</v>
      </c>
      <c r="D44" s="23"/>
      <c r="E44" s="32"/>
    </row>
    <row r="45" ht="28" customHeight="1" spans="1:5">
      <c r="A45" s="7">
        <v>22</v>
      </c>
      <c r="B45" s="25" t="s">
        <v>79</v>
      </c>
      <c r="C45" s="8" t="s">
        <v>81</v>
      </c>
      <c r="D45" s="23"/>
      <c r="E45" s="32"/>
    </row>
    <row r="46" ht="28" customHeight="1" spans="1:5">
      <c r="A46" s="7">
        <v>23</v>
      </c>
      <c r="B46" s="25" t="s">
        <v>79</v>
      </c>
      <c r="C46" s="8" t="s">
        <v>82</v>
      </c>
      <c r="D46" s="23"/>
      <c r="E46" s="32"/>
    </row>
    <row r="47" ht="28" customHeight="1" spans="1:5">
      <c r="A47" s="7">
        <v>24</v>
      </c>
      <c r="B47" s="25" t="s">
        <v>79</v>
      </c>
      <c r="C47" s="8" t="s">
        <v>83</v>
      </c>
      <c r="D47" s="23"/>
      <c r="E47" s="32"/>
    </row>
    <row r="48" ht="28" customHeight="1" spans="1:5">
      <c r="A48" s="7">
        <v>25</v>
      </c>
      <c r="B48" s="25" t="s">
        <v>79</v>
      </c>
      <c r="C48" s="8" t="s">
        <v>84</v>
      </c>
      <c r="D48" s="23"/>
      <c r="E48" s="32"/>
    </row>
    <row r="49" ht="15.75" spans="3:4">
      <c r="C49" s="34" t="s">
        <v>55</v>
      </c>
      <c r="D49" s="35" t="e">
        <f>ROUND(AVERAGE(D44:D48),1)</f>
        <v>#DIV/0!</v>
      </c>
    </row>
    <row r="50" ht="17.25" spans="3:4">
      <c r="C50" s="34" t="s">
        <v>56</v>
      </c>
      <c r="D50" s="36" t="e">
        <f>ROUND(D49-E43,1)</f>
        <v>#DIV/0!</v>
      </c>
    </row>
    <row r="52" ht="18" spans="1:5">
      <c r="A52" s="31" t="s">
        <v>85</v>
      </c>
      <c r="B52" s="32"/>
      <c r="C52" s="32"/>
      <c r="D52" s="33" t="s">
        <v>48</v>
      </c>
      <c r="E52" s="23">
        <v>4</v>
      </c>
    </row>
    <row r="53" ht="28" customHeight="1" spans="1:5">
      <c r="A53" s="7">
        <v>26</v>
      </c>
      <c r="B53" s="25" t="s">
        <v>86</v>
      </c>
      <c r="C53" s="8" t="s">
        <v>87</v>
      </c>
      <c r="D53" s="23"/>
      <c r="E53" s="32"/>
    </row>
    <row r="54" ht="28" customHeight="1" spans="1:5">
      <c r="A54" s="7">
        <v>27</v>
      </c>
      <c r="B54" s="25" t="s">
        <v>86</v>
      </c>
      <c r="C54" s="8" t="s">
        <v>88</v>
      </c>
      <c r="D54" s="23"/>
      <c r="E54" s="32"/>
    </row>
    <row r="55" ht="28" customHeight="1" spans="1:5">
      <c r="A55" s="7">
        <v>28</v>
      </c>
      <c r="B55" s="25" t="s">
        <v>86</v>
      </c>
      <c r="C55" s="8" t="s">
        <v>89</v>
      </c>
      <c r="D55" s="23"/>
      <c r="E55" s="32"/>
    </row>
    <row r="56" ht="28" customHeight="1" spans="1:5">
      <c r="A56" s="7">
        <v>29</v>
      </c>
      <c r="B56" s="25" t="s">
        <v>86</v>
      </c>
      <c r="C56" s="8" t="s">
        <v>90</v>
      </c>
      <c r="D56" s="23"/>
      <c r="E56" s="32"/>
    </row>
    <row r="57" ht="28" customHeight="1" spans="1:5">
      <c r="A57" s="7">
        <v>30</v>
      </c>
      <c r="B57" s="25" t="s">
        <v>86</v>
      </c>
      <c r="C57" s="8" t="s">
        <v>91</v>
      </c>
      <c r="D57" s="23"/>
      <c r="E57" s="32"/>
    </row>
    <row r="58" ht="15.75" spans="3:4">
      <c r="C58" s="34" t="s">
        <v>55</v>
      </c>
      <c r="D58" s="35" t="e">
        <f>ROUND(AVERAGE(D53:D57),1)</f>
        <v>#DIV/0!</v>
      </c>
    </row>
    <row r="59" ht="17.25" spans="3:4">
      <c r="C59" s="34" t="s">
        <v>56</v>
      </c>
      <c r="D59" s="36" t="e">
        <f>ROUND(D58-E52,1)</f>
        <v>#DIV/0!</v>
      </c>
    </row>
    <row r="61" ht="15.75" spans="1:3">
      <c r="A61" s="20" t="s">
        <v>92</v>
      </c>
      <c r="C61" s="37" t="s">
        <v>43</v>
      </c>
    </row>
  </sheetData>
  <sheetProtection formatCells="0" insertHyperlinks="0" autoFilter="0"/>
  <mergeCells count="7">
    <mergeCell ref="A7:C7"/>
    <mergeCell ref="A16:C16"/>
    <mergeCell ref="A25:C25"/>
    <mergeCell ref="A34:C34"/>
    <mergeCell ref="A43:C43"/>
    <mergeCell ref="A52:C52"/>
    <mergeCell ref="C61:E61"/>
  </mergeCells>
  <dataValidations count="1">
    <dataValidation type="list" allowBlank="1" error="请选择 1~5 之间的整数" prompt="1=非常不符合 … 5=非常符合" sqref="D8:D12 D17:D21 D26:D30 D35:D39 D44:D48 D53:D57">
      <formula1>"1,2,3,4,5"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showGridLines="0" tabSelected="1" workbookViewId="0">
      <pane ySplit="5" topLeftCell="A6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4" customWidth="1"/>
    <col min="2" max="3" width="11" customWidth="1"/>
    <col min="4" max="4" width="32" customWidth="1"/>
    <col min="5" max="5" width="12" customWidth="1"/>
    <col min="6" max="6" width="14" customWidth="1"/>
  </cols>
  <sheetData>
    <row r="1" ht="21.75" spans="1:1">
      <c r="A1" s="1" t="s">
        <v>93</v>
      </c>
    </row>
    <row r="2" ht="16.5" spans="1:1">
      <c r="A2" s="17" t="s">
        <v>94</v>
      </c>
    </row>
    <row r="4" ht="18" spans="1:1">
      <c r="A4" s="18" t="s">
        <v>95</v>
      </c>
    </row>
    <row r="6" ht="15" spans="1:6">
      <c r="A6" s="3" t="s">
        <v>96</v>
      </c>
      <c r="B6" s="3" t="s">
        <v>97</v>
      </c>
      <c r="C6" s="3" t="s">
        <v>98</v>
      </c>
      <c r="D6" s="3" t="s">
        <v>99</v>
      </c>
      <c r="E6" s="3" t="s">
        <v>56</v>
      </c>
      <c r="F6" s="3" t="s">
        <v>100</v>
      </c>
    </row>
    <row r="7" ht="30" customHeight="1" spans="1:6">
      <c r="A7" s="4" t="s">
        <v>49</v>
      </c>
      <c r="B7" s="19" t="e">
        <f>评估量表!D13</f>
        <v>#DIV/0!</v>
      </c>
      <c r="C7" s="19" t="e">
        <f t="shared" ref="C7:C12" si="0">IF(B7&gt;=4,1,IF(B7&gt;=3,2,IF(B7&gt;=2,3,IF(B7&gt;=1,4,5))))</f>
        <v>#DIV/0!</v>
      </c>
      <c r="D7" s="8" t="e">
        <f>INDEX('[1]#REF'!$B$5:$F$5,C7)</f>
        <v>#DIV/0!</v>
      </c>
      <c r="E7" s="7" t="e">
        <f>ROUND(B7-评估量表!E7,1)</f>
        <v>#DIV/0!</v>
      </c>
      <c r="F7" s="7" t="e">
        <f t="shared" ref="F7:F12" si="1">IF(C7=1,"1级·关注",IF(C7=2,"2级·轻度",IF(C7=3,"3级·中度",IF(C7=4,"4级·重度","5级·极重"))))</f>
        <v>#DIV/0!</v>
      </c>
    </row>
    <row r="8" ht="30" customHeight="1" spans="1:6">
      <c r="A8" s="4" t="s">
        <v>58</v>
      </c>
      <c r="B8" s="19" t="e">
        <f>评估量表!D22</f>
        <v>#DIV/0!</v>
      </c>
      <c r="C8" s="19" t="e">
        <f t="shared" si="0"/>
        <v>#DIV/0!</v>
      </c>
      <c r="D8" s="8" t="e">
        <f>INDEX('[1]#REF'!$B$6:$F$6,C8)</f>
        <v>#DIV/0!</v>
      </c>
      <c r="E8" s="7" t="e">
        <f>ROUND(B8-评估量表!E16,1)</f>
        <v>#DIV/0!</v>
      </c>
      <c r="F8" s="7" t="e">
        <f t="shared" si="1"/>
        <v>#DIV/0!</v>
      </c>
    </row>
    <row r="9" ht="30" customHeight="1" spans="1:6">
      <c r="A9" s="4" t="s">
        <v>65</v>
      </c>
      <c r="B9" s="19" t="e">
        <f>评估量表!D31</f>
        <v>#DIV/0!</v>
      </c>
      <c r="C9" s="19" t="e">
        <f t="shared" si="0"/>
        <v>#DIV/0!</v>
      </c>
      <c r="D9" s="8" t="e">
        <f>INDEX('[1]#REF'!$B$7:$F$7,C9)</f>
        <v>#DIV/0!</v>
      </c>
      <c r="E9" s="7" t="e">
        <f>ROUND(B9-评估量表!E25,1)</f>
        <v>#DIV/0!</v>
      </c>
      <c r="F9" s="7" t="e">
        <f t="shared" si="1"/>
        <v>#DIV/0!</v>
      </c>
    </row>
    <row r="10" ht="30" customHeight="1" spans="1:6">
      <c r="A10" s="4" t="s">
        <v>72</v>
      </c>
      <c r="B10" s="19" t="e">
        <f>评估量表!D40</f>
        <v>#DIV/0!</v>
      </c>
      <c r="C10" s="19" t="e">
        <f t="shared" si="0"/>
        <v>#DIV/0!</v>
      </c>
      <c r="D10" s="8" t="e">
        <f>INDEX('[1]#REF'!$B$8:$F$8,C10)</f>
        <v>#DIV/0!</v>
      </c>
      <c r="E10" s="7" t="e">
        <f>ROUND(B10-评估量表!E34,1)</f>
        <v>#DIV/0!</v>
      </c>
      <c r="F10" s="7" t="e">
        <f t="shared" si="1"/>
        <v>#DIV/0!</v>
      </c>
    </row>
    <row r="11" ht="30" customHeight="1" spans="1:6">
      <c r="A11" s="4" t="s">
        <v>79</v>
      </c>
      <c r="B11" s="19" t="e">
        <f>评估量表!D49</f>
        <v>#DIV/0!</v>
      </c>
      <c r="C11" s="19" t="e">
        <f t="shared" si="0"/>
        <v>#DIV/0!</v>
      </c>
      <c r="D11" s="8" t="e">
        <f>INDEX('[1]#REF'!$B$9:$F$9,C11)</f>
        <v>#DIV/0!</v>
      </c>
      <c r="E11" s="7" t="e">
        <f>ROUND(B11-评估量表!E43,1)</f>
        <v>#DIV/0!</v>
      </c>
      <c r="F11" s="7" t="e">
        <f t="shared" si="1"/>
        <v>#DIV/0!</v>
      </c>
    </row>
    <row r="12" ht="30" customHeight="1" spans="1:6">
      <c r="A12" s="4" t="s">
        <v>86</v>
      </c>
      <c r="B12" s="19" t="e">
        <f>评估量表!D58</f>
        <v>#DIV/0!</v>
      </c>
      <c r="C12" s="19" t="e">
        <f t="shared" si="0"/>
        <v>#DIV/0!</v>
      </c>
      <c r="D12" s="8" t="e">
        <f>INDEX('[1]#REF'!$B$10:$F$10,C12)</f>
        <v>#DIV/0!</v>
      </c>
      <c r="E12" s="7" t="e">
        <f>ROUND(B12-评估量表!E52,1)</f>
        <v>#DIV/0!</v>
      </c>
      <c r="F12" s="7" t="e">
        <f t="shared" si="1"/>
        <v>#DIV/0!</v>
      </c>
    </row>
    <row r="14" ht="15.75" spans="1:2">
      <c r="A14" s="20" t="s">
        <v>101</v>
      </c>
      <c r="B14" s="21" t="e">
        <f>SUM(C7:C12)</f>
        <v>#DIV/0!</v>
      </c>
    </row>
    <row r="15" ht="15.75" spans="1:2">
      <c r="A15" s="20" t="s">
        <v>102</v>
      </c>
      <c r="B15" s="4" t="e">
        <f>IF(SUM(C7:C12)&lt;=10,"常态维持",IF(SUM(C7:C12)&lt;=15,"1级·关注",IF(SUM(C7:C12)&lt;=20,"2级·轻度",IF(SUM(C7:C12)&lt;=25,"3级·中度",IF(SUM(C7:C12)&lt;=28,"4级·重度","5级·极重")))))</f>
        <v>#DIV/0!</v>
      </c>
    </row>
    <row r="16" ht="17.25" spans="1:2">
      <c r="A16" s="20" t="s">
        <v>103</v>
      </c>
      <c r="B16" s="8" t="e">
        <f>IF(SUM(C7:C12)&lt;=10,"Y类 0项",IF(SUM(C7:C12)&lt;=15,"Y类 ≥1-2",IF(SUM(C7:C12)&lt;=20,"O≥1 或 Y≥3-4",IF(SUM(C7:C12)&lt;=25,"O≥2 或 Y≥5",IF(SUM(C7:C12)&lt;=28,"O≥3","R类任一命中")))))</f>
        <v>#DIV/0!</v>
      </c>
    </row>
    <row r="17" ht="17.25" spans="1:2">
      <c r="A17" s="20" t="s">
        <v>104</v>
      </c>
      <c r="B17" s="8" t="e">
        <f>IF(SUM(C7:C12)&lt;=10,"常态观察与维持",IF(SUM(C7:C12)&lt;=15,"班主任关注（基础预防）",IF(SUM(C7:C12)&lt;=20,"班主任+年级组（普及干预）",IF(SUM(C7:C12)&lt;=25,"定向干预组（班主任+心理教师+年级主任）",IF(SUM(C7:C12)&lt;=28,"强化干预组（心理团队+年级主任+管理层）","危机响应组（管理层+心理团队+外部专家）")))))</f>
        <v>#DIV/0!</v>
      </c>
    </row>
    <row r="19" ht="17.25" spans="1:6">
      <c r="A19" s="20" t="s">
        <v>105</v>
      </c>
      <c r="B19" s="8" t="e">
        <f>INDEX(A7:A12,MATCH(MIN(B7:B12),B7:B12,0))&amp;" （均分 "&amp;ROUND(MIN(B7:B12),1)&amp;"）"</f>
        <v>#DIV/0!</v>
      </c>
      <c r="C19" s="22"/>
      <c r="D19" s="22"/>
      <c r="E19" s="22"/>
      <c r="F19" s="27"/>
    </row>
    <row r="20" ht="44" customHeight="1" spans="2:2">
      <c r="B20" s="15" t="e">
        <f>IF(SUM(C7:C12)&lt;=10,"状态良好，保持常态沟通与观察；",IF(SUM(C7:C12)&lt;=15,"存在轻度风险，建议班主任+年级组介入预防性干预；",IF(SUM(C7:C12)&lt;=20,"存在中度偏差，需班主任+心理教师+年级主任定向干预；",IF(SUM(C7:C12)&lt;=25,"存在重度风险，需心理团队+年级主任+管理层强化协作；",IF(SUM(C7:C12)&lt;=28,"存在严重风险，需危机响应组紧急应对；","存在极端危机，需管理层+心理团队+外部专家立即响应；")))))&amp;" 优先聚焦最薄弱维度「"&amp;INDEX(A7:A12,MATCH(MIN(B7:B12),B7:B12,0))&amp;"」，并参考「维度参考与规则速查」中的必要条件与分级描述制定方案。"</f>
        <v>#DIV/0!</v>
      </c>
    </row>
    <row r="22" ht="18" spans="1:1">
      <c r="A22" s="18" t="s">
        <v>106</v>
      </c>
    </row>
    <row r="23" ht="17.25" spans="1:6">
      <c r="A23" s="20" t="s">
        <v>107</v>
      </c>
      <c r="B23" s="23" t="s">
        <v>108</v>
      </c>
      <c r="C23" s="8" t="str">
        <f>VLOOKUP($B$23,$A$35:$B$40,2,FALSE)</f>
        <v>S2 稳定发展型</v>
      </c>
      <c r="D23" s="22"/>
      <c r="E23" s="22"/>
      <c r="F23" s="27"/>
    </row>
    <row r="24" ht="17.25" spans="1:6">
      <c r="A24" s="20" t="s">
        <v>109</v>
      </c>
      <c r="B24" s="23" t="s">
        <v>110</v>
      </c>
      <c r="C24" s="8" t="str">
        <f>VLOOKUP($B$24,$A$42:$B$49,2,FALSE)</f>
        <v>P2 过度干预型</v>
      </c>
      <c r="D24" s="22"/>
      <c r="E24" s="22"/>
      <c r="F24" s="27"/>
    </row>
    <row r="25" ht="31.5" spans="1:6">
      <c r="A25" s="20" t="s">
        <v>111</v>
      </c>
      <c r="B25" s="23" t="s">
        <v>112</v>
      </c>
      <c r="C25" s="8" t="str">
        <f>VLOOKUP($B$25,$A$51:$B$55,2,FALSE)</f>
        <v>C 中性观望型</v>
      </c>
      <c r="D25" s="22"/>
      <c r="E25" s="22"/>
      <c r="F25" s="27"/>
    </row>
    <row r="26" ht="16.5" spans="1:2">
      <c r="A26" s="24" t="s">
        <v>113</v>
      </c>
      <c r="B26" s="25" t="str">
        <f>IF(LEFT($B$24,2)="P1","P1",$B$24)</f>
        <v>P2</v>
      </c>
    </row>
    <row r="28" ht="60" customHeight="1" spans="1:2">
      <c r="A28" s="26" t="s">
        <v>114</v>
      </c>
      <c r="B28" s="5" t="str">
        <f>IF(AND($B$25="E",OR($B$26="P3",$B$26="P5")),"负面干扰型 | 专项管控+法务介入+全程留痕（E级专项应对）",IF($B$25="E","负面干扰型（其他组合） | 按E级专项管控，德育处对接，班主任不单独应对",IF(AND(OR($B$23="S1",$B$23="S2"),OR($B$24="P1-A",$B$24="P1-C"),OR($B$25="A",$B$25="B")),"高知型/协同标杆 | 专业对话+理念交流+UPR引导（深度合作）",IF(AND(OR($B$23="S1",$B$23="S3"),OR($B$26="P2",$B$24="P1-B"),OR($B$25="C",$B$25="D")),"过度干预型 | 容器理论+替代参与+边界守护",IF(AND(OR($B$23="S3",$B$23="S4",$B$23="S5"),$B$26="P3",$B$25="C"),"缺位型 | 低门槛激活+容器修复+自我接纳",IF(AND(OR($B$23="S3",$B$23="S5"),$B$26="P4",$B$25="D"),"溺爱包庇型 | 明确规则+温和坚定+边界建立",IF(AND(OR($B$23="S4",$B$23="S5"),$B$26="P5",OR($B$25="D",$B$25="E")),"简单粗暴型 | 儿童保护+上报+停伤害+专业转介",IF(OR($B$25="A",$B$25="B"),"积极合作导向 | UPR巩固+深度合作/标杆引领",IF($B$25="C","中性观望/被动配合 | 加强沟通+唤醒关注+低门槛参与",IF($B$25="D","重点关注/潜在风险 | 专项沟通+防E转化+边界守护","待定组合 | 参照手册策略卡，结合容器状态与依恋模式定制"))))))))))</f>
        <v>中性观望/被动配合 | 加强沟通+唤醒关注+低门槛参与</v>
      </c>
    </row>
    <row r="33" ht="16.5" spans="1:1">
      <c r="A33" s="28" t="s">
        <v>115</v>
      </c>
    </row>
    <row r="34" ht="15" spans="1:2">
      <c r="A34" s="6" t="s">
        <v>116</v>
      </c>
      <c r="B34" s="6" t="s">
        <v>117</v>
      </c>
    </row>
    <row r="35" ht="17.25" spans="1:2">
      <c r="A35" s="7" t="s">
        <v>118</v>
      </c>
      <c r="B35" s="29" t="s">
        <v>119</v>
      </c>
    </row>
    <row r="36" ht="17.25" spans="1:2">
      <c r="A36" s="7" t="s">
        <v>108</v>
      </c>
      <c r="B36" s="29" t="s">
        <v>120</v>
      </c>
    </row>
    <row r="37" ht="17.25" spans="1:2">
      <c r="A37" s="7" t="s">
        <v>121</v>
      </c>
      <c r="B37" s="29" t="s">
        <v>122</v>
      </c>
    </row>
    <row r="38" ht="17.25" spans="1:2">
      <c r="A38" s="7" t="s">
        <v>123</v>
      </c>
      <c r="B38" s="29" t="s">
        <v>124</v>
      </c>
    </row>
    <row r="39" ht="17.25" spans="1:2">
      <c r="A39" s="7" t="s">
        <v>125</v>
      </c>
      <c r="B39" s="29" t="s">
        <v>126</v>
      </c>
    </row>
    <row r="40" ht="17.25" spans="1:2">
      <c r="A40" s="7" t="s">
        <v>127</v>
      </c>
      <c r="B40" s="29" t="s">
        <v>128</v>
      </c>
    </row>
    <row r="41" ht="15" spans="1:2">
      <c r="A41" s="6" t="s">
        <v>116</v>
      </c>
      <c r="B41" s="6" t="s">
        <v>117</v>
      </c>
    </row>
    <row r="42" ht="17.25" spans="1:2">
      <c r="A42" s="7" t="s">
        <v>129</v>
      </c>
      <c r="B42" s="29" t="s">
        <v>130</v>
      </c>
    </row>
    <row r="43" ht="17.25" spans="1:2">
      <c r="A43" s="7" t="s">
        <v>131</v>
      </c>
      <c r="B43" s="29" t="s">
        <v>132</v>
      </c>
    </row>
    <row r="44" ht="17.25" spans="1:2">
      <c r="A44" s="7" t="s">
        <v>133</v>
      </c>
      <c r="B44" s="29" t="s">
        <v>134</v>
      </c>
    </row>
    <row r="45" ht="17.25" spans="1:2">
      <c r="A45" s="7" t="s">
        <v>135</v>
      </c>
      <c r="B45" s="29" t="s">
        <v>136</v>
      </c>
    </row>
    <row r="46" ht="17.25" spans="1:2">
      <c r="A46" s="7" t="s">
        <v>110</v>
      </c>
      <c r="B46" s="29" t="s">
        <v>137</v>
      </c>
    </row>
    <row r="47" ht="17.25" spans="1:2">
      <c r="A47" s="7" t="s">
        <v>138</v>
      </c>
      <c r="B47" s="29" t="s">
        <v>139</v>
      </c>
    </row>
    <row r="48" ht="17.25" spans="1:2">
      <c r="A48" s="7" t="s">
        <v>140</v>
      </c>
      <c r="B48" s="29" t="s">
        <v>141</v>
      </c>
    </row>
    <row r="49" ht="17.25" spans="1:2">
      <c r="A49" s="7" t="s">
        <v>142</v>
      </c>
      <c r="B49" s="29" t="s">
        <v>143</v>
      </c>
    </row>
    <row r="50" ht="15" spans="1:2">
      <c r="A50" s="6" t="s">
        <v>116</v>
      </c>
      <c r="B50" s="6" t="s">
        <v>117</v>
      </c>
    </row>
    <row r="51" ht="17.25" spans="1:2">
      <c r="A51" s="7" t="s">
        <v>144</v>
      </c>
      <c r="B51" s="29" t="s">
        <v>145</v>
      </c>
    </row>
    <row r="52" ht="17.25" spans="1:2">
      <c r="A52" s="7" t="s">
        <v>146</v>
      </c>
      <c r="B52" s="29" t="s">
        <v>147</v>
      </c>
    </row>
    <row r="53" ht="17.25" spans="1:2">
      <c r="A53" s="7" t="s">
        <v>112</v>
      </c>
      <c r="B53" s="29" t="s">
        <v>148</v>
      </c>
    </row>
    <row r="54" ht="17.25" spans="1:2">
      <c r="A54" s="7" t="s">
        <v>149</v>
      </c>
      <c r="B54" s="29" t="s">
        <v>150</v>
      </c>
    </row>
    <row r="55" ht="17.25" spans="1:2">
      <c r="A55" s="7" t="s">
        <v>151</v>
      </c>
      <c r="B55" s="29" t="s">
        <v>152</v>
      </c>
    </row>
  </sheetData>
  <sheetProtection formatCells="0" insertHyperlinks="0" autoFilter="0"/>
  <mergeCells count="10">
    <mergeCell ref="B14:F14"/>
    <mergeCell ref="B15:F15"/>
    <mergeCell ref="B16:F16"/>
    <mergeCell ref="B17:F17"/>
    <mergeCell ref="B19:F19"/>
    <mergeCell ref="B20:F20"/>
    <mergeCell ref="C23:F23"/>
    <mergeCell ref="C24:F24"/>
    <mergeCell ref="C25:F25"/>
    <mergeCell ref="B28:F28"/>
  </mergeCells>
  <conditionalFormatting sqref="B15">
    <cfRule type="expression" dxfId="0" priority="7">
      <formula>B15="常态维持"</formula>
    </cfRule>
    <cfRule type="expression" dxfId="1" priority="8">
      <formula>B15="1级·关注"</formula>
    </cfRule>
    <cfRule type="expression" dxfId="2" priority="9">
      <formula>B15="2级·轻度"</formula>
    </cfRule>
    <cfRule type="expression" dxfId="3" priority="10">
      <formula>B15="3级·中度"</formula>
    </cfRule>
    <cfRule type="expression" dxfId="4" priority="11">
      <formula>B15="4级·重度"</formula>
    </cfRule>
    <cfRule type="expression" dxfId="5" priority="12">
      <formula>B15="5级·极重"</formula>
    </cfRule>
  </conditionalFormatting>
  <conditionalFormatting sqref="E7:E12">
    <cfRule type="expression" dxfId="4" priority="6">
      <formula>E7&lt;0</formula>
    </cfRule>
  </conditionalFormatting>
  <conditionalFormatting sqref="F7:F12">
    <cfRule type="expression" dxfId="1" priority="1">
      <formula>ISNUMBER(SEARCH("1级",F7))</formula>
    </cfRule>
    <cfRule type="expression" dxfId="2" priority="2">
      <formula>ISNUMBER(SEARCH("2级",F7))</formula>
    </cfRule>
    <cfRule type="expression" dxfId="3" priority="3">
      <formula>ISNUMBER(SEARCH("3级",F7))</formula>
    </cfRule>
    <cfRule type="expression" dxfId="4" priority="4">
      <formula>ISNUMBER(SEARCH("4级",F7))</formula>
    </cfRule>
    <cfRule type="expression" dxfId="4" priority="5">
      <formula>ISNUMBER(SEARCH("5级",F7))</formula>
    </cfRule>
  </conditionalFormatting>
  <dataValidations count="3">
    <dataValidation type="list" sqref="B25">
      <formula1>"A,B,C,D,E"</formula1>
    </dataValidation>
    <dataValidation type="list" sqref="B24">
      <formula1>"P1-A,P1-B,P1-C,P1-D,P2,P3,P4,P5"</formula1>
    </dataValidation>
    <dataValidation type="list" sqref="B23">
      <formula1>"S1,S2,S3,S4,S5,S6"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showGridLines="0" workbookViewId="0">
      <selection activeCell="A1" sqref="A1"/>
    </sheetView>
  </sheetViews>
  <sheetFormatPr defaultColWidth="9" defaultRowHeight="13.5" outlineLevelCol="5"/>
  <cols>
    <col min="1" max="1" width="14" customWidth="1"/>
    <col min="2" max="3" width="22" customWidth="1"/>
    <col min="4" max="4" width="40.6666666666667" customWidth="1"/>
    <col min="5" max="6" width="22" customWidth="1"/>
    <col min="7" max="7" width="4" customWidth="1"/>
    <col min="8" max="8" width="22" customWidth="1"/>
    <col min="9" max="9" width="60" customWidth="1"/>
  </cols>
  <sheetData>
    <row r="1" ht="21.75" spans="1:1">
      <c r="A1" s="1" t="s">
        <v>153</v>
      </c>
    </row>
    <row r="3" ht="15.75" spans="1:1">
      <c r="A3" s="2" t="s">
        <v>154</v>
      </c>
    </row>
    <row r="4" ht="15" spans="1:6">
      <c r="A4" s="3" t="s">
        <v>96</v>
      </c>
      <c r="B4" s="3" t="s">
        <v>155</v>
      </c>
      <c r="C4" s="3" t="s">
        <v>156</v>
      </c>
      <c r="D4" s="3" t="s">
        <v>157</v>
      </c>
      <c r="E4" s="3" t="s">
        <v>158</v>
      </c>
      <c r="F4" s="3" t="s">
        <v>159</v>
      </c>
    </row>
    <row r="5" ht="34" customHeight="1" spans="1:6">
      <c r="A5" s="4" t="s">
        <v>49</v>
      </c>
      <c r="B5" s="5" t="s">
        <v>160</v>
      </c>
      <c r="C5" s="5" t="s">
        <v>161</v>
      </c>
      <c r="D5" s="5" t="s">
        <v>162</v>
      </c>
      <c r="E5" s="5" t="s">
        <v>163</v>
      </c>
      <c r="F5" s="5" t="s">
        <v>164</v>
      </c>
    </row>
    <row r="6" ht="34" customHeight="1" spans="1:6">
      <c r="A6" s="4" t="s">
        <v>58</v>
      </c>
      <c r="B6" s="5" t="s">
        <v>165</v>
      </c>
      <c r="C6" s="5" t="s">
        <v>166</v>
      </c>
      <c r="D6" s="5" t="s">
        <v>167</v>
      </c>
      <c r="E6" s="5" t="s">
        <v>168</v>
      </c>
      <c r="F6" s="5" t="s">
        <v>169</v>
      </c>
    </row>
    <row r="7" ht="34" customHeight="1" spans="1:6">
      <c r="A7" s="4" t="s">
        <v>65</v>
      </c>
      <c r="B7" s="5" t="s">
        <v>170</v>
      </c>
      <c r="C7" s="5" t="s">
        <v>171</v>
      </c>
      <c r="D7" s="5" t="s">
        <v>172</v>
      </c>
      <c r="E7" s="5" t="s">
        <v>173</v>
      </c>
      <c r="F7" s="5" t="s">
        <v>174</v>
      </c>
    </row>
    <row r="8" ht="34" customHeight="1" spans="1:6">
      <c r="A8" s="4" t="s">
        <v>72</v>
      </c>
      <c r="B8" s="5" t="s">
        <v>175</v>
      </c>
      <c r="C8" s="5" t="s">
        <v>176</v>
      </c>
      <c r="D8" s="5" t="s">
        <v>177</v>
      </c>
      <c r="E8" s="5" t="s">
        <v>178</v>
      </c>
      <c r="F8" s="5" t="s">
        <v>179</v>
      </c>
    </row>
    <row r="9" ht="34" customHeight="1" spans="1:6">
      <c r="A9" s="4" t="s">
        <v>79</v>
      </c>
      <c r="B9" s="5" t="s">
        <v>180</v>
      </c>
      <c r="C9" s="5" t="s">
        <v>181</v>
      </c>
      <c r="D9" s="5" t="s">
        <v>182</v>
      </c>
      <c r="E9" s="5" t="s">
        <v>183</v>
      </c>
      <c r="F9" s="5" t="s">
        <v>184</v>
      </c>
    </row>
    <row r="10" ht="34" customHeight="1" spans="1:6">
      <c r="A10" s="4" t="s">
        <v>86</v>
      </c>
      <c r="B10" s="5" t="s">
        <v>185</v>
      </c>
      <c r="C10" s="5" t="s">
        <v>186</v>
      </c>
      <c r="D10" s="5" t="s">
        <v>187</v>
      </c>
      <c r="E10" s="5" t="s">
        <v>188</v>
      </c>
      <c r="F10" s="5" t="s">
        <v>189</v>
      </c>
    </row>
    <row r="12" ht="15.75" spans="1:1">
      <c r="A12" s="2" t="s">
        <v>190</v>
      </c>
    </row>
    <row r="13" ht="15" spans="1:3">
      <c r="A13" s="6" t="s">
        <v>191</v>
      </c>
      <c r="B13" s="6" t="s">
        <v>98</v>
      </c>
      <c r="C13" s="6" t="s">
        <v>192</v>
      </c>
    </row>
    <row r="14" ht="17.25" spans="1:3">
      <c r="A14" s="7" t="s">
        <v>193</v>
      </c>
      <c r="B14" s="7" t="s">
        <v>194</v>
      </c>
      <c r="C14" s="8" t="s">
        <v>195</v>
      </c>
    </row>
    <row r="15" ht="17.25" spans="1:3">
      <c r="A15" s="7" t="s">
        <v>196</v>
      </c>
      <c r="B15" s="7" t="s">
        <v>197</v>
      </c>
      <c r="C15" s="8" t="s">
        <v>198</v>
      </c>
    </row>
    <row r="16" ht="17.25" spans="1:3">
      <c r="A16" s="7" t="s">
        <v>199</v>
      </c>
      <c r="B16" s="7" t="s">
        <v>200</v>
      </c>
      <c r="C16" s="8" t="s">
        <v>201</v>
      </c>
    </row>
    <row r="17" ht="17.25" spans="1:3">
      <c r="A17" s="7" t="s">
        <v>202</v>
      </c>
      <c r="B17" s="7" t="s">
        <v>203</v>
      </c>
      <c r="C17" s="8" t="s">
        <v>204</v>
      </c>
    </row>
    <row r="18" ht="17.25" spans="1:3">
      <c r="A18" s="7" t="s">
        <v>205</v>
      </c>
      <c r="B18" s="7" t="s">
        <v>206</v>
      </c>
      <c r="C18" s="8" t="s">
        <v>207</v>
      </c>
    </row>
    <row r="20" ht="15.75" spans="1:1">
      <c r="A20" s="2" t="s">
        <v>208</v>
      </c>
    </row>
    <row r="21" ht="15" spans="1:4">
      <c r="A21" s="3" t="s">
        <v>209</v>
      </c>
      <c r="B21" s="3" t="s">
        <v>210</v>
      </c>
      <c r="C21" s="3" t="s">
        <v>103</v>
      </c>
      <c r="D21" s="3" t="s">
        <v>104</v>
      </c>
    </row>
    <row r="22" ht="24" customHeight="1" spans="1:4">
      <c r="A22" s="9" t="s">
        <v>211</v>
      </c>
      <c r="B22" s="9" t="s">
        <v>26</v>
      </c>
      <c r="C22" s="9" t="s">
        <v>212</v>
      </c>
      <c r="D22" s="9" t="s">
        <v>213</v>
      </c>
    </row>
    <row r="23" ht="24" customHeight="1" spans="1:4">
      <c r="A23" s="10" t="s">
        <v>214</v>
      </c>
      <c r="B23" s="10" t="s">
        <v>28</v>
      </c>
      <c r="C23" s="10" t="s">
        <v>215</v>
      </c>
      <c r="D23" s="10" t="s">
        <v>216</v>
      </c>
    </row>
    <row r="24" ht="24" customHeight="1" spans="1:4">
      <c r="A24" s="11" t="s">
        <v>217</v>
      </c>
      <c r="B24" s="11" t="s">
        <v>30</v>
      </c>
      <c r="C24" s="11" t="s">
        <v>218</v>
      </c>
      <c r="D24" s="11" t="s">
        <v>219</v>
      </c>
    </row>
    <row r="25" ht="24" customHeight="1" spans="1:4">
      <c r="A25" s="12" t="s">
        <v>220</v>
      </c>
      <c r="B25" s="12" t="s">
        <v>32</v>
      </c>
      <c r="C25" s="12" t="s">
        <v>221</v>
      </c>
      <c r="D25" s="12" t="s">
        <v>222</v>
      </c>
    </row>
    <row r="26" ht="24" customHeight="1" spans="1:4">
      <c r="A26" s="13" t="s">
        <v>223</v>
      </c>
      <c r="B26" s="13" t="s">
        <v>34</v>
      </c>
      <c r="C26" s="13" t="s">
        <v>224</v>
      </c>
      <c r="D26" s="13" t="s">
        <v>225</v>
      </c>
    </row>
    <row r="27" ht="24" customHeight="1" spans="1:4">
      <c r="A27" s="14" t="s">
        <v>226</v>
      </c>
      <c r="B27" s="14" t="s">
        <v>36</v>
      </c>
      <c r="C27" s="14" t="s">
        <v>227</v>
      </c>
      <c r="D27" s="14" t="s">
        <v>228</v>
      </c>
    </row>
    <row r="29" ht="15.75" spans="1:1">
      <c r="A29" s="2" t="s">
        <v>229</v>
      </c>
    </row>
    <row r="30" ht="69" spans="1:2">
      <c r="A30" s="2" t="s">
        <v>230</v>
      </c>
      <c r="B30" s="15" t="s">
        <v>231</v>
      </c>
    </row>
    <row r="31" ht="103.5" spans="1:2">
      <c r="A31" s="2" t="s">
        <v>232</v>
      </c>
      <c r="B31" s="15" t="s">
        <v>233</v>
      </c>
    </row>
    <row r="32" ht="51.75" spans="1:2">
      <c r="A32" s="2" t="s">
        <v>234</v>
      </c>
      <c r="B32" s="15" t="s">
        <v>235</v>
      </c>
    </row>
    <row r="34" ht="15.75" spans="1:1">
      <c r="A34" s="2" t="s">
        <v>236</v>
      </c>
    </row>
    <row r="35" ht="30" customHeight="1" spans="1:2">
      <c r="A35" s="7" t="s">
        <v>15</v>
      </c>
      <c r="B35" s="5" t="s">
        <v>237</v>
      </c>
    </row>
    <row r="36" ht="30" customHeight="1" spans="1:2">
      <c r="A36" s="7" t="s">
        <v>17</v>
      </c>
      <c r="B36" s="5" t="s">
        <v>238</v>
      </c>
    </row>
    <row r="37" ht="30" customHeight="1" spans="1:2">
      <c r="A37" s="7" t="s">
        <v>19</v>
      </c>
      <c r="B37" s="5" t="s">
        <v>239</v>
      </c>
    </row>
    <row r="38" ht="30" customHeight="1" spans="1:2">
      <c r="A38" s="7" t="s">
        <v>21</v>
      </c>
      <c r="B38" s="5" t="s">
        <v>240</v>
      </c>
    </row>
    <row r="39" ht="30" customHeight="1" spans="1:2">
      <c r="A39" s="7" t="s">
        <v>23</v>
      </c>
      <c r="B39" s="5" t="s">
        <v>241</v>
      </c>
    </row>
    <row r="40" ht="30" customHeight="1" spans="1:2">
      <c r="A40" s="7" t="s">
        <v>242</v>
      </c>
      <c r="B40" s="5" t="s">
        <v>243</v>
      </c>
    </row>
    <row r="41" ht="30" customHeight="1" spans="1:2">
      <c r="A41" s="7" t="s">
        <v>244</v>
      </c>
      <c r="B41" s="5" t="s">
        <v>245</v>
      </c>
    </row>
    <row r="42" ht="30" customHeight="1" spans="1:2">
      <c r="A42" s="7" t="s">
        <v>246</v>
      </c>
      <c r="B42" s="5" t="s">
        <v>247</v>
      </c>
    </row>
    <row r="44" ht="15.75" spans="1:1">
      <c r="A44" s="2" t="s">
        <v>248</v>
      </c>
    </row>
    <row r="45" ht="30" spans="1:4">
      <c r="A45" s="3" t="s">
        <v>96</v>
      </c>
      <c r="B45" s="3" t="s">
        <v>249</v>
      </c>
      <c r="C45" s="3" t="s">
        <v>250</v>
      </c>
      <c r="D45" s="3" t="s">
        <v>251</v>
      </c>
    </row>
    <row r="46" ht="84" customHeight="1" spans="1:4">
      <c r="A46" s="16" t="s">
        <v>49</v>
      </c>
      <c r="B46" s="8" t="s">
        <v>252</v>
      </c>
      <c r="C46" s="8" t="s">
        <v>253</v>
      </c>
      <c r="D46" s="8" t="s">
        <v>254</v>
      </c>
    </row>
    <row r="47" ht="84" customHeight="1" spans="1:4">
      <c r="A47" s="16" t="s">
        <v>58</v>
      </c>
      <c r="B47" s="8" t="s">
        <v>252</v>
      </c>
      <c r="C47" s="8" t="s">
        <v>255</v>
      </c>
      <c r="D47" s="8" t="s">
        <v>256</v>
      </c>
    </row>
    <row r="48" ht="84" customHeight="1" spans="1:4">
      <c r="A48" s="16" t="s">
        <v>65</v>
      </c>
      <c r="B48" s="8" t="s">
        <v>252</v>
      </c>
      <c r="C48" s="8" t="s">
        <v>257</v>
      </c>
      <c r="D48" s="8" t="s">
        <v>258</v>
      </c>
    </row>
    <row r="49" ht="84" customHeight="1" spans="1:4">
      <c r="A49" s="16" t="s">
        <v>72</v>
      </c>
      <c r="B49" s="8" t="s">
        <v>252</v>
      </c>
      <c r="C49" s="8" t="s">
        <v>259</v>
      </c>
      <c r="D49" s="8" t="s">
        <v>260</v>
      </c>
    </row>
    <row r="50" ht="84" customHeight="1" spans="1:4">
      <c r="A50" s="16" t="s">
        <v>79</v>
      </c>
      <c r="B50" s="8" t="s">
        <v>252</v>
      </c>
      <c r="C50" s="8" t="s">
        <v>261</v>
      </c>
      <c r="D50" s="8" t="s">
        <v>262</v>
      </c>
    </row>
    <row r="51" ht="84" customHeight="1" spans="1:4">
      <c r="A51" s="16" t="s">
        <v>86</v>
      </c>
      <c r="B51" s="8" t="s">
        <v>252</v>
      </c>
      <c r="C51" s="8" t="s">
        <v>263</v>
      </c>
      <c r="D51" s="8" t="s">
        <v>264</v>
      </c>
    </row>
  </sheetData>
  <sheetProtection formatCells="0" insertHyperlinks="0" autoFilter="0"/>
  <mergeCells count="8">
    <mergeCell ref="B35:F35"/>
    <mergeCell ref="B36:F36"/>
    <mergeCell ref="B37:F37"/>
    <mergeCell ref="B38:F38"/>
    <mergeCell ref="B39:F39"/>
    <mergeCell ref="B40:F40"/>
    <mergeCell ref="B41:F41"/>
    <mergeCell ref="B42:F4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说明与规则总览</vt:lpstr>
      <vt:lpstr>评估量表</vt:lpstr>
      <vt:lpstr>诊断与双维分类报告</vt:lpstr>
      <vt:lpstr>维度参考与规则速查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郡主 ME</cp:lastModifiedBy>
  <dcterms:created xsi:type="dcterms:W3CDTF">2026-07-30T15:33:00Z</dcterms:created>
  <dcterms:modified xsi:type="dcterms:W3CDTF">2026-07-30T15:36:00Z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5ABB8E5A9FEE49F58B94BC7782C43E64_12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</Properties>
</file>