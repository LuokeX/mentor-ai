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使用说明" sheetId="1" state="visible" r:id="rId1"/>
    <sheet xmlns:r="http://schemas.openxmlformats.org/officeDocument/2006/relationships" name="01 SNAP-IV注意力筛查" sheetId="2" state="visible" r:id="rId2"/>
    <sheet xmlns:r="http://schemas.openxmlformats.org/officeDocument/2006/relationships" name="02 学习策略量表" sheetId="3" state="visible" r:id="rId3"/>
    <sheet xmlns:r="http://schemas.openxmlformats.org/officeDocument/2006/relationships" name="03 学习动机量表" sheetId="4" state="visible" r:id="rId4"/>
    <sheet xmlns:r="http://schemas.openxmlformats.org/officeDocument/2006/relationships" name="04 学业情绪量表" sheetId="5" state="visible" r:id="rId5"/>
    <sheet xmlns:r="http://schemas.openxmlformats.org/officeDocument/2006/relationships" name="05 依恋关系评估" sheetId="6" state="visible" r:id="rId6"/>
    <sheet xmlns:r="http://schemas.openxmlformats.org/officeDocument/2006/relationships" name="06 课堂观察评定" sheetId="7" state="visible" r:id="rId7"/>
    <sheet xmlns:r="http://schemas.openxmlformats.org/officeDocument/2006/relationships" name="07 成绩趋势与学科诊断" sheetId="8" state="visible" r:id="rId8"/>
    <sheet xmlns:r="http://schemas.openxmlformats.org/officeDocument/2006/relationships" name="08 基础信息·访谈·家校" sheetId="9" state="visible" r:id="rId9"/>
    <sheet xmlns:r="http://schemas.openxmlformats.org/officeDocument/2006/relationships" name="09 结果判读与路由" sheetId="10" state="visible" r:id="rId10"/>
    <sheet xmlns:r="http://schemas.openxmlformats.org/officeDocument/2006/relationships" name="10 全量题项库" sheetId="11" state="visible" r:id="rId11"/>
  </sheets>
  <definedNames>
    <definedName name="_xlnm._FilterDatabase" localSheetId="10" hidden="1">'10 全量题项库'!$A$5:$I$89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37474F"/>
      <sz val="10"/>
    </font>
    <font>
      <name val="微软雅黑"/>
      <b val="1"/>
      <color rgb="001565C0"/>
      <sz val="9"/>
    </font>
    <font>
      <name val="微软雅黑"/>
      <i val="1"/>
      <color rgb="00607D8B"/>
      <sz val="9"/>
    </font>
    <font>
      <name val="微软雅黑"/>
      <b val="1"/>
      <color rgb="00FFFFFF"/>
      <sz val="10"/>
    </font>
    <font>
      <name val="微软雅黑"/>
      <b val="1"/>
      <color rgb="00212121"/>
      <sz val="10"/>
    </font>
    <font>
      <name val="微软雅黑"/>
      <color rgb="00212121"/>
      <sz val="10"/>
    </font>
    <font>
      <name val="微软雅黑"/>
      <b val="1"/>
      <color rgb="00E65100"/>
      <sz val="11"/>
    </font>
    <font>
      <name val="微软雅黑"/>
      <b val="1"/>
      <color rgb="00E65100"/>
      <sz val="10"/>
    </font>
  </fonts>
  <fills count="1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00695C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6A1B9A"/>
      </patternFill>
    </fill>
    <fill>
      <patternFill patternType="solid">
        <fgColor rgb="00E3F2FD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5" borderId="0" applyAlignment="1" pivotButton="0" quotePrefix="0" xfId="0">
      <alignment vertical="center" inden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pivotButton="0" quotePrefix="0" xfId="0"/>
    <xf numFmtId="0" fontId="8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8" borderId="0" applyAlignment="1" pivotButton="0" quotePrefix="0" xfId="0">
      <alignment vertical="center" inden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9" fillId="7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9" borderId="0" applyAlignment="1" pivotButton="0" quotePrefix="0" xfId="0">
      <alignment vertical="center" wrapText="1"/>
    </xf>
    <xf numFmtId="0" fontId="9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 ht="30" customHeight="1">
      <c r="A1" s="1" t="inlineStr">
        <is>
          <t>学习问题智能辅导系统 · 测量量表精华版</t>
        </is>
      </c>
    </row>
    <row r="2" ht="20" customHeight="1">
      <c r="A2" s="2" t="inlineStr">
        <is>
          <t>对应五步流程「第一步·事实呈现」；班主任快速填写 + 自动判读 + 路由到下一步</t>
        </is>
      </c>
    </row>
    <row r="3" ht="18" customHeight="1">
      <c r="A3" s="3" t="inlineStr">
        <is>
          <t>适用学段：全学段（按量表标注适用年级）　｜　量表来源/依据：依据技术手册_更新版 + 工具库(F-01~F-11)</t>
        </is>
      </c>
    </row>
    <row r="5" ht="30" customHeight="1">
      <c r="A5" s="4" t="inlineStr">
        <is>
          <t>编制目的</t>
        </is>
      </c>
      <c r="B5" s="5" t="inlineStr">
        <is>
          <t>为班主任提供一套科学、可直接填写的 screening 量表，快速完成「事实呈现」，并自动判读、指向问题归因与干预工具，形成闭环。</t>
        </is>
      </c>
    </row>
    <row r="6" ht="30" customHeight="1">
      <c r="A6" s="4" t="inlineStr">
        <is>
          <t>三步走</t>
        </is>
      </c>
      <c r="B6" s="5" t="inlineStr">
        <is>
          <t>① 填：在对应量表页按锚点打分/打勾 → ② 判：Excel 自动计分并给结论（绿/黄/红）→ ③ 路由：按「09 结果判读与路由」调用下一步工具。</t>
        </is>
      </c>
    </row>
    <row r="7" ht="45" customHeight="1">
      <c r="A7" s="4" t="inlineStr">
        <is>
          <t>科学性与局限</t>
        </is>
      </c>
      <c r="B7" s="5" t="inlineStr">
        <is>
          <t>量表均改编自国际/国内成熟工具(LASSI、SNAP-IV、AMS、AEQ、IPPA、CBRS)，用于学校筛查而非临床诊断；结论仅作预警与分流依据，阳性结果须结合访谈(F-01)与观察(F-02)交叉核实，必要时转介专业机构。</t>
        </is>
      </c>
    </row>
    <row r="9">
      <c r="A9" s="6" t="inlineStr">
        <is>
          <t>工作表导航</t>
        </is>
      </c>
    </row>
    <row r="10">
      <c r="A10" s="4" t="inlineStr">
        <is>
          <t>01 SNAP-IV注意力筛查</t>
        </is>
      </c>
      <c r="B10" s="5" t="inlineStr">
        <is>
          <t>ADHD样表现双评筛查（1-2·3-4为主）</t>
        </is>
      </c>
    </row>
    <row r="11">
      <c r="A11" s="4" t="inlineStr">
        <is>
          <t>02 学习策略量表</t>
        </is>
      </c>
      <c r="B11" s="5" t="inlineStr">
        <is>
          <t>认知/元认知策略缺失定位（3-4·5-6为主）</t>
        </is>
      </c>
    </row>
    <row r="12">
      <c r="A12" s="4" t="inlineStr">
        <is>
          <t>03 学习动机量表</t>
        </is>
      </c>
      <c r="B12" s="5" t="inlineStr">
        <is>
          <t>自主动机 vs 无动机（5-6为主）</t>
        </is>
      </c>
    </row>
    <row r="13">
      <c r="A13" s="4" t="inlineStr">
        <is>
          <t>04 学业情绪量表</t>
        </is>
      </c>
      <c r="B13" s="5" t="inlineStr">
        <is>
          <t>积极/消极学业情绪（全学段）</t>
        </is>
      </c>
    </row>
    <row r="14">
      <c r="A14" s="4" t="inlineStr">
        <is>
          <t>05 依恋关系评估</t>
        </is>
      </c>
      <c r="B14" s="5" t="inlineStr">
        <is>
          <t>亲子依恋安全性（全学段）</t>
        </is>
      </c>
    </row>
    <row r="15">
      <c r="A15" s="4" t="inlineStr">
        <is>
          <t>06 课堂观察评定</t>
        </is>
      </c>
      <c r="B15" s="5" t="inlineStr">
        <is>
          <t>课堂行为结构化观察（全学段）</t>
        </is>
      </c>
    </row>
    <row r="16">
      <c r="A16" s="4" t="inlineStr">
        <is>
          <t>07 成绩趋势与学科诊断</t>
        </is>
      </c>
      <c r="B16" s="5" t="inlineStr">
        <is>
          <t>成绩数据自动预警（全学段）</t>
        </is>
      </c>
    </row>
    <row r="17">
      <c r="A17" s="4" t="inlineStr">
        <is>
          <t>08 基础信息·访谈·家校</t>
        </is>
      </c>
      <c r="B17" s="5" t="inlineStr">
        <is>
          <t>结构化采集与风险标记（全学段）</t>
        </is>
      </c>
    </row>
    <row r="18">
      <c r="A18" s="4" t="inlineStr">
        <is>
          <t>09 结果判读与路由</t>
        </is>
      </c>
      <c r="B18" s="5" t="inlineStr">
        <is>
          <t>判读标准 + 下一步工具（总控）</t>
        </is>
      </c>
    </row>
    <row r="19">
      <c r="A19" s="4" t="inlineStr">
        <is>
          <t>10 全量题项库</t>
        </is>
      </c>
      <c r="B19" s="5" t="inlineStr">
        <is>
          <t>智能体可检索数据库（含学段/关联）</t>
        </is>
      </c>
    </row>
    <row r="21">
      <c r="A21" s="7" t="inlineStr">
        <is>
          <t>配色图例：🟢良好/达标　🟡中等·需关注　🔴薄弱/风险（详见各表自动判读区）</t>
        </is>
      </c>
    </row>
  </sheetData>
  <mergeCells count="5">
    <mergeCell ref="A1:D1"/>
    <mergeCell ref="A21:B21"/>
    <mergeCell ref="A3:D3"/>
    <mergeCell ref="A2:D2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1" customWidth="1" min="3" max="3"/>
    <col width="11" customWidth="1" min="4" max="4"/>
    <col width="22" customWidth="1" min="5" max="5"/>
  </cols>
  <sheetData>
    <row r="1" ht="30" customHeight="1">
      <c r="A1" s="1" t="inlineStr">
        <is>
          <t>01　注意力与多动筛查量表（SNAP-IV 精华版）</t>
        </is>
      </c>
    </row>
    <row r="2" ht="20" customHeight="1">
      <c r="A2" s="2" t="inlineStr">
        <is>
          <t>筛查注意缺陷/多动-冲动倾向，教师与家长双评，对应工具 F-04</t>
        </is>
      </c>
    </row>
    <row r="3" ht="18" customHeight="1">
      <c r="A3" s="3" t="inlineStr">
        <is>
          <t>适用学段：1-2·3-4年级为主（低中段筛查首选；5-6亦可）　｜　量表来源/依据：Swanson,Nolan &amp; Pelham 量表（SNAP-IV，18项版）；校合用精华版</t>
        </is>
      </c>
    </row>
    <row r="4" ht="30" customHeight="1">
      <c r="A4" s="7" t="inlineStr">
        <is>
          <t>指导语：请按学生近1个月在对应场景的真实表现，分别由班主任与家长独立评定，不商量。0=完全没有，1=偶尔(约每周1-2次)，2=经常(每周3-4次)，3=几乎每天。</t>
        </is>
      </c>
    </row>
    <row r="5" ht="28" customHeight="1">
      <c r="A5" s="7" t="inlineStr">
        <is>
          <t>评分锚点：0=完全没有　1=偶尔(每周1-2次)　2=经常(每周3-4次)　3=几乎每天</t>
        </is>
      </c>
    </row>
    <row r="7" ht="22" customHeight="1">
      <c r="A7" s="8" t="inlineStr">
        <is>
          <t>序号</t>
        </is>
      </c>
      <c r="B7" s="8" t="inlineStr">
        <is>
          <t>题项</t>
        </is>
      </c>
      <c r="C7" s="8" t="inlineStr">
        <is>
          <t>教师评定</t>
        </is>
      </c>
      <c r="D7" s="8" t="inlineStr">
        <is>
          <t>家长评定</t>
        </is>
      </c>
      <c r="E7" s="8" t="inlineStr">
        <is>
          <t>备注/锚点提示</t>
        </is>
      </c>
    </row>
    <row r="8">
      <c r="A8" s="9" t="n">
        <v>1</v>
      </c>
      <c r="B8" s="5" t="inlineStr">
        <is>
          <t>很难持续专注于功课或需要动脑的任务</t>
        </is>
      </c>
      <c r="C8" s="10" t="n"/>
      <c r="D8" s="10" t="n"/>
      <c r="E8" s="11" t="inlineStr"/>
    </row>
    <row r="9">
      <c r="A9" s="9" t="n">
        <v>2</v>
      </c>
      <c r="B9" s="5" t="inlineStr">
        <is>
          <t>别人对他说话时，似乎没在听</t>
        </is>
      </c>
      <c r="C9" s="10" t="n"/>
      <c r="D9" s="10" t="n"/>
      <c r="E9" s="11" t="inlineStr"/>
    </row>
    <row r="10">
      <c r="A10" s="9" t="n">
        <v>3</v>
      </c>
      <c r="B10" s="5" t="inlineStr">
        <is>
          <t>不按指示把事情做完（非对抗行为）</t>
        </is>
      </c>
      <c r="C10" s="10" t="n"/>
      <c r="D10" s="10" t="n"/>
      <c r="E10" s="11" t="inlineStr"/>
    </row>
    <row r="11">
      <c r="A11" s="9" t="n">
        <v>4</v>
      </c>
      <c r="B11" s="5" t="inlineStr">
        <is>
          <t>难以有条理地完成功课或活动</t>
        </is>
      </c>
      <c r="C11" s="10" t="n"/>
      <c r="D11" s="10" t="n"/>
      <c r="E11" s="11" t="inlineStr"/>
    </row>
    <row r="12">
      <c r="A12" s="9" t="n">
        <v>5</v>
      </c>
      <c r="B12" s="5" t="inlineStr">
        <is>
          <t>回避、不喜欢或勉强做需持续动脑的任务</t>
        </is>
      </c>
      <c r="C12" s="10" t="n"/>
      <c r="D12" s="10" t="n"/>
      <c r="E12" s="11" t="inlineStr"/>
    </row>
    <row r="13">
      <c r="A13" s="9" t="n">
        <v>6</v>
      </c>
      <c r="B13" s="5" t="inlineStr">
        <is>
          <t>遗失学习或活动所需的物品</t>
        </is>
      </c>
      <c r="C13" s="10" t="n"/>
      <c r="D13" s="10" t="n"/>
      <c r="E13" s="11" t="inlineStr"/>
    </row>
    <row r="14">
      <c r="A14" s="9" t="n">
        <v>7</v>
      </c>
      <c r="B14" s="5" t="inlineStr">
        <is>
          <t>容易被无关刺激分散注意力</t>
        </is>
      </c>
      <c r="C14" s="10" t="n"/>
      <c r="D14" s="10" t="n"/>
      <c r="E14" s="11" t="inlineStr"/>
    </row>
    <row r="15">
      <c r="A15" s="9" t="n">
        <v>8</v>
      </c>
      <c r="B15" s="5" t="inlineStr">
        <is>
          <t>日常生活中显得健忘</t>
        </is>
      </c>
      <c r="C15" s="10" t="n"/>
      <c r="D15" s="10" t="n"/>
      <c r="E15" s="11" t="inlineStr"/>
    </row>
    <row r="16">
      <c r="A16" s="9" t="n">
        <v>9</v>
      </c>
      <c r="B16" s="5" t="inlineStr">
        <is>
          <t>在细节上粗心，难以维持注意力</t>
        </is>
      </c>
      <c r="C16" s="10" t="n"/>
      <c r="D16" s="10" t="n"/>
      <c r="E16" s="11" t="inlineStr"/>
    </row>
    <row r="17">
      <c r="A17" s="9" t="n">
        <v>10</v>
      </c>
      <c r="B17" s="5" t="inlineStr">
        <is>
          <t>坐着手脚动个不停或在座位上扭动</t>
        </is>
      </c>
      <c r="C17" s="10" t="n"/>
      <c r="D17" s="10" t="n"/>
      <c r="E17" s="11" t="inlineStr"/>
    </row>
    <row r="18">
      <c r="A18" s="9" t="n">
        <v>11</v>
      </c>
      <c r="B18" s="5" t="inlineStr">
        <is>
          <t>在需要坐好的场合（教室）离开座位</t>
        </is>
      </c>
      <c r="C18" s="10" t="n"/>
      <c r="D18" s="10" t="n"/>
      <c r="E18" s="11" t="inlineStr"/>
    </row>
    <row r="19">
      <c r="A19" s="9" t="n">
        <v>12</v>
      </c>
      <c r="B19" s="5" t="inlineStr">
        <is>
          <t>在不合适的场合跑来跑去或爬上爬下</t>
        </is>
      </c>
      <c r="C19" s="10" t="n"/>
      <c r="D19" s="10" t="n"/>
      <c r="E19" s="11" t="inlineStr"/>
    </row>
    <row r="20">
      <c r="A20" s="9" t="n">
        <v>13</v>
      </c>
      <c r="B20" s="5" t="inlineStr">
        <is>
          <t>难以安静地玩耍或参加休闲活动</t>
        </is>
      </c>
      <c r="C20" s="10" t="n"/>
      <c r="D20" s="10" t="n"/>
      <c r="E20" s="11" t="inlineStr"/>
    </row>
    <row r="21">
      <c r="A21" s="9" t="n">
        <v>14</v>
      </c>
      <c r="B21" s="5" t="inlineStr">
        <is>
          <t>像被“马达驱动”一样停不下来</t>
        </is>
      </c>
      <c r="C21" s="10" t="n"/>
      <c r="D21" s="10" t="n"/>
      <c r="E21" s="11" t="inlineStr"/>
    </row>
    <row r="22">
      <c r="A22" s="9" t="n">
        <v>15</v>
      </c>
      <c r="B22" s="5" t="inlineStr">
        <is>
          <t>说话过多</t>
        </is>
      </c>
      <c r="C22" s="10" t="n"/>
      <c r="D22" s="10" t="n"/>
      <c r="E22" s="11" t="inlineStr"/>
    </row>
    <row r="23">
      <c r="A23" s="9" t="n">
        <v>16</v>
      </c>
      <c r="B23" s="5" t="inlineStr">
        <is>
          <t>问题尚未问完就抢着回答</t>
        </is>
      </c>
      <c r="C23" s="10" t="n"/>
      <c r="D23" s="10" t="n"/>
      <c r="E23" s="11" t="inlineStr"/>
    </row>
    <row r="24">
      <c r="A24" s="9" t="n">
        <v>17</v>
      </c>
      <c r="B24" s="5" t="inlineStr">
        <is>
          <t>难以按顺序等待（如排队）</t>
        </is>
      </c>
      <c r="C24" s="10" t="n"/>
      <c r="D24" s="10" t="n"/>
      <c r="E24" s="11" t="inlineStr"/>
    </row>
    <row r="25">
      <c r="A25" s="9" t="n">
        <v>18</v>
      </c>
      <c r="B25" s="5" t="inlineStr">
        <is>
          <t>打断或侵扰别人（插嘴、打扰游戏）</t>
        </is>
      </c>
      <c r="C25" s="10" t="n"/>
      <c r="D25" s="10" t="n"/>
      <c r="E25" s="11" t="inlineStr"/>
    </row>
    <row r="27" ht="22" customHeight="1">
      <c r="A27" s="6" t="inlineStr">
        <is>
          <t>【自动计分区】　（填完上方分值，下方自动计算；请勿手改）</t>
        </is>
      </c>
    </row>
    <row r="28">
      <c r="A28" s="4" t="inlineStr">
        <is>
          <t>注意缺陷</t>
        </is>
      </c>
      <c r="B28" s="5" t="inlineStr">
        <is>
          <t>子量表均分（9题）</t>
        </is>
      </c>
      <c r="C28" s="12">
        <f>IFERROR(ROUND(AVERAGE(C8:C16),2),"")</f>
        <v/>
      </c>
      <c r="D28" s="12">
        <f>IFERROR(ROUND(AVERAGE(D8:D16),2),"")</f>
        <v/>
      </c>
      <c r="E28" s="11" t="inlineStr">
        <is>
          <t>教师/家长双评对照，差异大需交叉核实</t>
        </is>
      </c>
    </row>
    <row r="29">
      <c r="A29" s="4" t="inlineStr">
        <is>
          <t>多动-冲动</t>
        </is>
      </c>
      <c r="B29" s="5" t="inlineStr">
        <is>
          <t>子量表均分（9题）</t>
        </is>
      </c>
      <c r="C29" s="12">
        <f>IFERROR(ROUND(AVERAGE(C17:C25),2),"")</f>
        <v/>
      </c>
      <c r="D29" s="12">
        <f>IFERROR(ROUND(AVERAGE(D17:D25),2),"")</f>
        <v/>
      </c>
      <c r="E29" s="11" t="inlineStr">
        <is>
          <t>教师/家长双评对照，差异大需交叉核实</t>
        </is>
      </c>
    </row>
    <row r="30">
      <c r="A30" s="13" t="inlineStr">
        <is>
          <t>总均分</t>
        </is>
      </c>
      <c r="B30" s="14" t="inlineStr">
        <is>
          <t>全部子量表均值</t>
        </is>
      </c>
      <c r="C30" s="15">
        <f>IFERROR(ROUND(AVERAGE(C28,C29),2),"")</f>
        <v/>
      </c>
      <c r="D30" s="15">
        <f>IFERROR(ROUND(AVERAGE(D28,D29),2),"")</f>
        <v/>
      </c>
      <c r="E30" s="16" t="inlineStr">
        <is>
          <t>核心判读指标</t>
        </is>
      </c>
    </row>
    <row r="32" ht="22" customHeight="1">
      <c r="A32" s="17" t="inlineStr">
        <is>
          <t>【结果判读区】　（依据下方标准自动给出结论）</t>
        </is>
      </c>
    </row>
    <row r="33">
      <c r="A33" s="18" t="inlineStr">
        <is>
          <t>教师·注意缺陷阳性项(≥2)</t>
        </is>
      </c>
      <c r="C33" s="19">
        <f>COUNTIF(C8:C16,"&gt;=2")</f>
        <v/>
      </c>
      <c r="E33" s="7" t="inlineStr">
        <is>
          <t>≥6项提示注意缺陷倾向</t>
        </is>
      </c>
    </row>
    <row r="34">
      <c r="A34" s="18" t="inlineStr">
        <is>
          <t>教师·多动-冲动阳性项(≥2)</t>
        </is>
      </c>
      <c r="C34" s="19">
        <f>COUNTIF(C17:C25,"&gt;=2")</f>
        <v/>
      </c>
      <c r="E34" s="7" t="inlineStr">
        <is>
          <t>≥6项提示多动-冲动倾向</t>
        </is>
      </c>
    </row>
    <row r="35">
      <c r="A35" s="18" t="inlineStr">
        <is>
          <t>家长·注意缺陷阳性项(≥2)</t>
        </is>
      </c>
      <c r="D35" s="19">
        <f>COUNTIF(D8:D16,"&gt;=2")</f>
        <v/>
      </c>
      <c r="E35" s="7" t="inlineStr">
        <is>
          <t>≥6项提示注意缺陷倾向</t>
        </is>
      </c>
    </row>
    <row r="36">
      <c r="A36" s="18" t="inlineStr">
        <is>
          <t>家长·多动-冲动阳性项(≥2)</t>
        </is>
      </c>
      <c r="D36" s="19">
        <f>COUNTIF(D17:D25,"&gt;=2")</f>
        <v/>
      </c>
      <c r="E36" s="7" t="inlineStr">
        <is>
          <t>≥6项提示多动-冲动倾向</t>
        </is>
      </c>
    </row>
    <row r="37" ht="30" customHeight="1">
      <c r="A37" s="20">
        <f>IF(OR(C33&gt;=6,C34&gt;=6,D35&gt;=6,D36&gt;=6),"阳性：提示ADHD样表现，建议转介专业评估（A-04认知剖面）","阴性：未达筛查阈值，持续观察（每4-8周复评）")</f>
        <v/>
      </c>
    </row>
  </sheetData>
  <mergeCells count="8">
    <mergeCell ref="A4:E4"/>
    <mergeCell ref="A2:E2"/>
    <mergeCell ref="A1:E1"/>
    <mergeCell ref="A5:E5"/>
    <mergeCell ref="A32:E32"/>
    <mergeCell ref="A37:E37"/>
    <mergeCell ref="A27:E27"/>
    <mergeCell ref="A3:E3"/>
  </mergeCells>
  <conditionalFormatting sqref="C8:D25">
    <cfRule type="colorScale" priority="1">
      <colorScale>
        <cfvo type="num" val="0"/>
        <cfvo type="num" val="1.5"/>
        <cfvo type="num" val="3"/>
        <color rgb="00FFEBEE"/>
        <color rgb="00FFF9C4"/>
        <color rgb="00C8E6C9"/>
      </colorScale>
    </cfRule>
  </conditionalFormatting>
  <dataValidations count="1">
    <dataValidation sqref="C8:D25" showDropDown="0" showInputMessage="0" showErrorMessage="0" allowBlank="1" error="请选择规定分值" prompt="可选：0,1,2,3" type="list">
      <formula1>"0,1,2,3"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1" customWidth="1" min="3" max="3"/>
    <col width="11" customWidth="1" min="4" max="4"/>
    <col width="22" customWidth="1" min="5" max="5"/>
  </cols>
  <sheetData>
    <row r="1" ht="30" customHeight="1">
      <c r="A1" s="1" t="inlineStr">
        <is>
          <t>02　学习策略量表（MAI/LASSI 精华版）</t>
        </is>
      </c>
    </row>
    <row r="2" ht="20" customHeight="1">
      <c r="A2" s="2" t="inlineStr">
        <is>
          <t>评估认知策略与元认知策略使用水平，定位策略缺失点，对应工具 F-09</t>
        </is>
      </c>
    </row>
    <row r="3" ht="18" customHeight="1">
      <c r="A3" s="3" t="inlineStr">
        <is>
          <t>适用学段：3-4·5-6年级为主（策略缺失中段起显；低段重习惯由教师/家长代评）　｜　量表来源/依据：学习策略量表 MAI / LASSI 精简20题；校合用精华版</t>
        </is>
      </c>
    </row>
    <row r="4" ht="30" customHeight="1">
      <c r="A4" s="7" t="inlineStr">
        <is>
          <t>指导语：请学生按自己平时真实的学习习惯作答（1-2年级由家长/教师根据观察代评）。1=从不，2=很少，3=有时，4=经常，5=总是。</t>
        </is>
      </c>
    </row>
    <row r="5" ht="28" customHeight="1">
      <c r="A5" s="7" t="inlineStr">
        <is>
          <t>评分锚点：1=从不　2=很少　3=有时　4=经常　5=总是</t>
        </is>
      </c>
    </row>
    <row r="7" ht="22" customHeight="1">
      <c r="A7" s="8" t="inlineStr">
        <is>
          <t>序号</t>
        </is>
      </c>
      <c r="B7" s="8" t="inlineStr">
        <is>
          <t>题项</t>
        </is>
      </c>
      <c r="C7" s="8" t="inlineStr">
        <is>
          <t>评分</t>
        </is>
      </c>
      <c r="D7" s="8" t="inlineStr">
        <is>
          <t>备注/锚点提示</t>
        </is>
      </c>
    </row>
    <row r="8">
      <c r="A8" s="9" t="n">
        <v>1</v>
      </c>
      <c r="B8" s="5" t="inlineStr">
        <is>
          <t>我会通过反复朗读或抄写帮助记忆</t>
        </is>
      </c>
      <c r="C8" s="10" t="n"/>
      <c r="D8" s="11" t="inlineStr"/>
    </row>
    <row r="9">
      <c r="A9" s="9" t="n">
        <v>2</v>
      </c>
      <c r="B9" s="5" t="inlineStr">
        <is>
          <t>我会用自己的话解释难点</t>
        </is>
      </c>
      <c r="C9" s="10" t="n"/>
      <c r="D9" s="11" t="inlineStr"/>
    </row>
    <row r="10">
      <c r="A10" s="9" t="n">
        <v>3</v>
      </c>
      <c r="B10" s="5" t="inlineStr">
        <is>
          <t>我会把新知识和旧知识联系起来</t>
        </is>
      </c>
      <c r="C10" s="10" t="n"/>
      <c r="D10" s="11" t="inlineStr"/>
    </row>
    <row r="11">
      <c r="A11" s="9" t="n">
        <v>4</v>
      </c>
      <c r="B11" s="5" t="inlineStr">
        <is>
          <t>我会举例子或打比方帮助理解</t>
        </is>
      </c>
      <c r="C11" s="10" t="n"/>
      <c r="D11" s="11" t="inlineStr"/>
    </row>
    <row r="12">
      <c r="A12" s="9" t="n">
        <v>5</v>
      </c>
      <c r="B12" s="5" t="inlineStr">
        <is>
          <t>我会用提纲或思维导图整理内容</t>
        </is>
      </c>
      <c r="C12" s="10" t="n"/>
      <c r="D12" s="11" t="inlineStr"/>
    </row>
    <row r="13">
      <c r="A13" s="9" t="n">
        <v>6</v>
      </c>
      <c r="B13" s="5" t="inlineStr">
        <is>
          <t>我会把材料分成几个部分来理解</t>
        </is>
      </c>
      <c r="C13" s="10" t="n"/>
      <c r="D13" s="11" t="inlineStr"/>
    </row>
    <row r="14">
      <c r="A14" s="9" t="n">
        <v>7</v>
      </c>
      <c r="B14" s="5" t="inlineStr">
        <is>
          <t>我会抓住重点和关键词</t>
        </is>
      </c>
      <c r="C14" s="10" t="n"/>
      <c r="D14" s="11" t="inlineStr"/>
    </row>
    <row r="15">
      <c r="A15" s="9" t="n">
        <v>8</v>
      </c>
      <c r="B15" s="5" t="inlineStr">
        <is>
          <t>我会比较不同内容的异同</t>
        </is>
      </c>
      <c r="C15" s="10" t="n"/>
      <c r="D15" s="11" t="inlineStr"/>
    </row>
    <row r="16">
      <c r="A16" s="9" t="n">
        <v>9</v>
      </c>
      <c r="B16" s="5" t="inlineStr">
        <is>
          <t>学习前我会先想清楚目标和步骤</t>
        </is>
      </c>
      <c r="C16" s="10" t="n"/>
      <c r="D16" s="11" t="inlineStr"/>
    </row>
    <row r="17">
      <c r="A17" s="9" t="n">
        <v>10</v>
      </c>
      <c r="B17" s="5" t="inlineStr">
        <is>
          <t>我会为任务安排时间</t>
        </is>
      </c>
      <c r="C17" s="10" t="n"/>
      <c r="D17" s="11" t="inlineStr"/>
    </row>
    <row r="18">
      <c r="A18" s="9" t="n">
        <v>11</v>
      </c>
      <c r="B18" s="5" t="inlineStr">
        <is>
          <t>我会把大任务拆成小步骤</t>
        </is>
      </c>
      <c r="C18" s="10" t="n"/>
      <c r="D18" s="11" t="inlineStr"/>
    </row>
    <row r="19">
      <c r="A19" s="9" t="n">
        <v>12</v>
      </c>
      <c r="B19" s="5" t="inlineStr">
        <is>
          <t>我会预估完成任务需要的时间</t>
        </is>
      </c>
      <c r="C19" s="10" t="n"/>
      <c r="D19" s="11" t="inlineStr"/>
    </row>
    <row r="20">
      <c r="A20" s="9" t="n">
        <v>13</v>
      </c>
      <c r="B20" s="5" t="inlineStr">
        <is>
          <t>学习时我会检查自己是否走神</t>
        </is>
      </c>
      <c r="C20" s="10" t="n"/>
      <c r="D20" s="11" t="inlineStr"/>
    </row>
    <row r="21">
      <c r="A21" s="9" t="n">
        <v>14</v>
      </c>
      <c r="B21" s="5" t="inlineStr">
        <is>
          <t>阅读时我会边读边问自己懂没懂</t>
        </is>
      </c>
      <c r="C21" s="10" t="n"/>
      <c r="D21" s="11" t="inlineStr"/>
    </row>
    <row r="22">
      <c r="A22" s="9" t="n">
        <v>15</v>
      </c>
      <c r="B22" s="5" t="inlineStr">
        <is>
          <t>我会及时发现理解错误并回头重看</t>
        </is>
      </c>
      <c r="C22" s="10" t="n"/>
      <c r="D22" s="11" t="inlineStr"/>
    </row>
    <row r="23">
      <c r="A23" s="9" t="n">
        <v>16</v>
      </c>
      <c r="B23" s="5" t="inlineStr">
        <is>
          <t>我会根据难度调整学习方法</t>
        </is>
      </c>
      <c r="C23" s="10" t="n"/>
      <c r="D23" s="11" t="inlineStr"/>
    </row>
    <row r="24">
      <c r="A24" s="9" t="n">
        <v>17</v>
      </c>
      <c r="B24" s="5" t="inlineStr">
        <is>
          <t>学完我会自测是否真正掌握</t>
        </is>
      </c>
      <c r="C24" s="10" t="n"/>
      <c r="D24" s="11" t="inlineStr"/>
    </row>
    <row r="25">
      <c r="A25" s="9" t="n">
        <v>18</v>
      </c>
      <c r="B25" s="5" t="inlineStr">
        <is>
          <t>遇到困难我会换一种方法再试</t>
        </is>
      </c>
      <c r="C25" s="10" t="n"/>
      <c r="D25" s="11" t="inlineStr"/>
    </row>
    <row r="26">
      <c r="A26" s="9" t="n">
        <v>19</v>
      </c>
      <c r="B26" s="5" t="inlineStr">
        <is>
          <t>我会主动向老师或同学求助</t>
        </is>
      </c>
      <c r="C26" s="10" t="n"/>
      <c r="D26" s="11" t="inlineStr"/>
    </row>
    <row r="27">
      <c r="A27" s="9" t="n">
        <v>20</v>
      </c>
      <c r="B27" s="5" t="inlineStr">
        <is>
          <t>我会用错题本或复习资料巩固</t>
        </is>
      </c>
      <c r="C27" s="10" t="n"/>
      <c r="D27" s="11" t="inlineStr"/>
    </row>
    <row r="29" ht="22" customHeight="1">
      <c r="A29" s="6" t="inlineStr">
        <is>
          <t>【自动计分区】　（填完上方分值，下方自动计算；请勿手改）</t>
        </is>
      </c>
    </row>
    <row r="30">
      <c r="A30" s="4" t="inlineStr">
        <is>
          <t>认知-复述精细加工</t>
        </is>
      </c>
      <c r="B30" s="5" t="inlineStr">
        <is>
          <t>子量表均分（4题）</t>
        </is>
      </c>
      <c r="C30" s="12">
        <f>IFERROR(ROUND(AVERAGE(C8:C11),2),"")</f>
        <v/>
      </c>
      <c r="D30" s="11" t="inlineStr">
        <is>
          <t>1-5越高越好</t>
        </is>
      </c>
      <c r="E30" s="16" t="n"/>
    </row>
    <row r="31">
      <c r="A31" s="4" t="inlineStr">
        <is>
          <t>认知-组织</t>
        </is>
      </c>
      <c r="B31" s="5" t="inlineStr">
        <is>
          <t>子量表均分（4题）</t>
        </is>
      </c>
      <c r="C31" s="12">
        <f>IFERROR(ROUND(AVERAGE(C12:C15),2),"")</f>
        <v/>
      </c>
      <c r="D31" s="11" t="inlineStr">
        <is>
          <t>1-5越高越好</t>
        </is>
      </c>
      <c r="E31" s="16" t="n"/>
    </row>
    <row r="32">
      <c r="A32" s="4" t="inlineStr">
        <is>
          <t>元认知-计划</t>
        </is>
      </c>
      <c r="B32" s="5" t="inlineStr">
        <is>
          <t>子量表均分（4题）</t>
        </is>
      </c>
      <c r="C32" s="12">
        <f>IFERROR(ROUND(AVERAGE(C16:C19),2),"")</f>
        <v/>
      </c>
      <c r="D32" s="11" t="inlineStr">
        <is>
          <t>1-5越高越好</t>
        </is>
      </c>
      <c r="E32" s="16" t="n"/>
    </row>
    <row r="33">
      <c r="A33" s="4" t="inlineStr">
        <is>
          <t>元认知-监控</t>
        </is>
      </c>
      <c r="B33" s="5" t="inlineStr">
        <is>
          <t>子量表均分（4题）</t>
        </is>
      </c>
      <c r="C33" s="12">
        <f>IFERROR(ROUND(AVERAGE(C20:C23),2),"")</f>
        <v/>
      </c>
      <c r="D33" s="11" t="inlineStr">
        <is>
          <t>1-5越高越好</t>
        </is>
      </c>
      <c r="E33" s="16" t="n"/>
    </row>
    <row r="34">
      <c r="A34" s="4" t="inlineStr">
        <is>
          <t>元认知-调节资源</t>
        </is>
      </c>
      <c r="B34" s="5" t="inlineStr">
        <is>
          <t>子量表均分（4题）</t>
        </is>
      </c>
      <c r="C34" s="12">
        <f>IFERROR(ROUND(AVERAGE(C24:C27),2),"")</f>
        <v/>
      </c>
      <c r="D34" s="11" t="inlineStr">
        <is>
          <t>1-5越高越好</t>
        </is>
      </c>
      <c r="E34" s="16" t="n"/>
    </row>
    <row r="35">
      <c r="A35" s="13" t="inlineStr">
        <is>
          <t>总均分</t>
        </is>
      </c>
      <c r="B35" s="14" t="inlineStr">
        <is>
          <t>全部子量表均值</t>
        </is>
      </c>
      <c r="C35" s="15">
        <f>IFERROR(ROUND(AVERAGE(C30,C31,C32,C33,C34),2),"")</f>
        <v/>
      </c>
      <c r="D35" s="16" t="inlineStr">
        <is>
          <t>核心判读指标</t>
        </is>
      </c>
      <c r="E35" s="16" t="n"/>
    </row>
    <row r="37" ht="22" customHeight="1">
      <c r="A37" s="17" t="inlineStr">
        <is>
          <t>【结果判读区】　（依据下方标准自动给出结论）</t>
        </is>
      </c>
    </row>
    <row r="38">
      <c r="A38" s="21" t="inlineStr">
        <is>
          <t>认知-复述精细加工</t>
        </is>
      </c>
      <c r="C38" s="19">
        <f>C30</f>
        <v/>
      </c>
      <c r="E38" s="22">
        <f>IF(C30="","",IF(C30&gt;=3.6,"良好",IF(C30&gt;=2.6,"中等·需关注","薄弱·待加强")))</f>
        <v/>
      </c>
    </row>
    <row r="39">
      <c r="A39" s="21" t="inlineStr">
        <is>
          <t>认知-组织</t>
        </is>
      </c>
      <c r="C39" s="19">
        <f>C31</f>
        <v/>
      </c>
      <c r="E39" s="22">
        <f>IF(C31="","",IF(C31&gt;=3.6,"良好",IF(C31&gt;=2.6,"中等·需关注","薄弱·待加强")))</f>
        <v/>
      </c>
    </row>
    <row r="40">
      <c r="A40" s="21" t="inlineStr">
        <is>
          <t>元认知-计划</t>
        </is>
      </c>
      <c r="C40" s="19">
        <f>C32</f>
        <v/>
      </c>
      <c r="E40" s="22">
        <f>IF(C32="","",IF(C32&gt;=3.6,"良好",IF(C32&gt;=2.6,"中等·需关注","薄弱·待加强")))</f>
        <v/>
      </c>
    </row>
    <row r="41">
      <c r="A41" s="21" t="inlineStr">
        <is>
          <t>元认知-监控</t>
        </is>
      </c>
      <c r="C41" s="19">
        <f>C33</f>
        <v/>
      </c>
      <c r="E41" s="22">
        <f>IF(C33="","",IF(C33&gt;=3.6,"良好",IF(C33&gt;=2.6,"中等·需关注","薄弱·待加强")))</f>
        <v/>
      </c>
    </row>
    <row r="42">
      <c r="A42" s="21" t="inlineStr">
        <is>
          <t>元认知-调节资源</t>
        </is>
      </c>
      <c r="C42" s="19">
        <f>C34</f>
        <v/>
      </c>
      <c r="E42" s="22">
        <f>IF(C34="","",IF(C34&gt;=3.6,"良好",IF(C34&gt;=2.6,"中等·需关注","薄弱·待加强")))</f>
        <v/>
      </c>
    </row>
    <row r="43" ht="24" customHeight="1">
      <c r="A43" s="23" t="inlineStr">
        <is>
          <t>总均分结论</t>
        </is>
      </c>
      <c r="C43" s="24">
        <f>C35</f>
        <v/>
      </c>
      <c r="E43" s="20">
        <f>IF(C35="","",IF(C35&gt;=3.6,"整体良好",IF(C35&gt;=2.6,"存在薄弱维度·进入问题归因","多项薄弱·优先干预")))</f>
        <v/>
      </c>
    </row>
  </sheetData>
  <mergeCells count="8">
    <mergeCell ref="A29:E29"/>
    <mergeCell ref="A4:E4"/>
    <mergeCell ref="A2:E2"/>
    <mergeCell ref="D7"/>
    <mergeCell ref="A1:E1"/>
    <mergeCell ref="A5:E5"/>
    <mergeCell ref="A37:E37"/>
    <mergeCell ref="A3:E3"/>
  </mergeCells>
  <conditionalFormatting sqref="C8:C27">
    <cfRule type="colorScale" priority="1">
      <colorScale>
        <cfvo type="num" val="1"/>
        <cfvo type="num" val="3"/>
        <cfvo type="num" val="5"/>
        <color rgb="00FFEBEE"/>
        <color rgb="00FFF9C4"/>
        <color rgb="00C8E6C9"/>
      </colorScale>
    </cfRule>
  </conditionalFormatting>
  <dataValidations count="1">
    <dataValidation sqref="C8:C27" showDropDown="0" showInputMessage="0" showErrorMessage="0" allowBlank="1" error="请选择规定分值" prompt="可选：1,2,3,4,5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1" customWidth="1" min="3" max="3"/>
    <col width="11" customWidth="1" min="4" max="4"/>
    <col width="22" customWidth="1" min="5" max="5"/>
  </cols>
  <sheetData>
    <row r="1" ht="30" customHeight="1">
      <c r="A1" s="1" t="inlineStr">
        <is>
          <t>03　学习动机量表（SDT/AMS 精华版）</t>
        </is>
      </c>
    </row>
    <row r="2" ht="20" customHeight="1">
      <c r="A2" s="2" t="inlineStr">
        <is>
          <t>区分自主动机(内在/认同)与外控动机，识别无动机风险，对应工具 F-08</t>
        </is>
      </c>
    </row>
    <row r="3" ht="18" customHeight="1">
      <c r="A3" s="3" t="inlineStr">
        <is>
          <t>适用学段：5-6年级为主（动机问题高段突出；3-4亦可评估）　｜　量表来源/依据：自我决定论 学业动机量表 AMS 精简12题；校合用精华版</t>
        </is>
      </c>
    </row>
    <row r="4" ht="30" customHeight="1">
      <c r="A4" s="7" t="inlineStr">
        <is>
          <t>指导语：请学生按真实感受作答。1=完全不符合，7=完全符合。</t>
        </is>
      </c>
    </row>
    <row r="5" ht="28" customHeight="1">
      <c r="A5" s="7" t="inlineStr">
        <is>
          <t>评分锚点：1=完全不符合 … 4=中立 … 7=完全符合</t>
        </is>
      </c>
    </row>
    <row r="7" ht="22" customHeight="1">
      <c r="A7" s="8" t="inlineStr">
        <is>
          <t>序号</t>
        </is>
      </c>
      <c r="B7" s="8" t="inlineStr">
        <is>
          <t>题项</t>
        </is>
      </c>
      <c r="C7" s="8" t="inlineStr">
        <is>
          <t>评分</t>
        </is>
      </c>
      <c r="D7" s="8" t="inlineStr">
        <is>
          <t>备注/锚点提示</t>
        </is>
      </c>
    </row>
    <row r="8">
      <c r="A8" s="9" t="n">
        <v>1</v>
      </c>
      <c r="B8" s="5" t="inlineStr">
        <is>
          <t>因为学习本身让我感到有趣</t>
        </is>
      </c>
      <c r="C8" s="10" t="n"/>
      <c r="D8" s="11" t="inlineStr"/>
    </row>
    <row r="9">
      <c r="A9" s="9" t="n">
        <v>2</v>
      </c>
      <c r="B9" s="5" t="inlineStr">
        <is>
          <t>因为我喜欢探索新东西</t>
        </is>
      </c>
      <c r="C9" s="10" t="n"/>
      <c r="D9" s="11" t="inlineStr"/>
    </row>
    <row r="10">
      <c r="A10" s="9" t="n">
        <v>3</v>
      </c>
      <c r="B10" s="5" t="inlineStr">
        <is>
          <t>因为解决难题让我有成就感</t>
        </is>
      </c>
      <c r="C10" s="10" t="n"/>
      <c r="D10" s="11" t="inlineStr"/>
    </row>
    <row r="11">
      <c r="A11" s="9" t="n">
        <v>4</v>
      </c>
      <c r="B11" s="5" t="inlineStr">
        <is>
          <t>因为学习对我实现目标很重要</t>
        </is>
      </c>
      <c r="C11" s="10" t="n"/>
      <c r="D11" s="11" t="inlineStr"/>
    </row>
    <row r="12">
      <c r="A12" s="9" t="n">
        <v>5</v>
      </c>
      <c r="B12" s="5" t="inlineStr">
        <is>
          <t>因为我想成为有知识有能力的人</t>
        </is>
      </c>
      <c r="C12" s="10" t="n"/>
      <c r="D12" s="11" t="inlineStr"/>
    </row>
    <row r="13">
      <c r="A13" s="9" t="n">
        <v>6</v>
      </c>
      <c r="B13" s="5" t="inlineStr">
        <is>
          <t>因为掌握本领对将来有用</t>
        </is>
      </c>
      <c r="C13" s="10" t="n"/>
      <c r="D13" s="11" t="inlineStr"/>
    </row>
    <row r="14">
      <c r="A14" s="9" t="n">
        <v>7</v>
      </c>
      <c r="B14" s="5" t="inlineStr">
        <is>
          <t>为了避免被批评或惩罚而学</t>
        </is>
      </c>
      <c r="C14" s="10" t="n"/>
      <c r="D14" s="11" t="inlineStr"/>
    </row>
    <row r="15">
      <c r="A15" s="9" t="n">
        <v>8</v>
      </c>
      <c r="B15" s="5" t="inlineStr">
        <is>
          <t>为了获得奖励或表扬而学</t>
        </is>
      </c>
      <c r="C15" s="10" t="n"/>
      <c r="D15" s="11" t="inlineStr"/>
    </row>
    <row r="16">
      <c r="A16" s="9" t="n">
        <v>9</v>
      </c>
      <c r="B16" s="5" t="inlineStr">
        <is>
          <t>因为家长/老师要求必须学</t>
        </is>
      </c>
      <c r="C16" s="10" t="n"/>
      <c r="D16" s="11" t="inlineStr"/>
    </row>
    <row r="17">
      <c r="A17" s="9" t="n">
        <v>10</v>
      </c>
      <c r="B17" s="5" t="inlineStr">
        <is>
          <t>我不清楚学习到底有什么用</t>
        </is>
      </c>
      <c r="C17" s="10" t="n"/>
      <c r="D17" s="11" t="inlineStr"/>
    </row>
    <row r="18">
      <c r="A18" s="9" t="n">
        <v>11</v>
      </c>
      <c r="B18" s="5" t="inlineStr">
        <is>
          <t>学不学对我都无所谓</t>
        </is>
      </c>
      <c r="C18" s="10" t="n"/>
      <c r="D18" s="11" t="inlineStr"/>
    </row>
    <row r="19">
      <c r="A19" s="9" t="n">
        <v>12</v>
      </c>
      <c r="B19" s="5" t="inlineStr">
        <is>
          <t>我学不进去也懒得管</t>
        </is>
      </c>
      <c r="C19" s="10" t="n"/>
      <c r="D19" s="11" t="inlineStr"/>
    </row>
    <row r="21" ht="22" customHeight="1">
      <c r="A21" s="6" t="inlineStr">
        <is>
          <t>【自动计分区】　（填完上方分值，下方自动计算；请勿手改）</t>
        </is>
      </c>
    </row>
    <row r="22">
      <c r="A22" s="4" t="inlineStr">
        <is>
          <t>内在动机</t>
        </is>
      </c>
      <c r="B22" s="5" t="inlineStr">
        <is>
          <t>子量表均分（3题）</t>
        </is>
      </c>
      <c r="C22" s="12">
        <f>IFERROR(ROUND(AVERAGE(C8:C10),2),"")</f>
        <v/>
      </c>
      <c r="D22" s="11" t="inlineStr">
        <is>
          <t>1-5越高越好</t>
        </is>
      </c>
      <c r="E22" s="16" t="n"/>
    </row>
    <row r="23">
      <c r="A23" s="4" t="inlineStr">
        <is>
          <t>认同调节</t>
        </is>
      </c>
      <c r="B23" s="5" t="inlineStr">
        <is>
          <t>子量表均分（3题）</t>
        </is>
      </c>
      <c r="C23" s="12">
        <f>IFERROR(ROUND(AVERAGE(C11:C13),2),"")</f>
        <v/>
      </c>
      <c r="D23" s="11" t="inlineStr">
        <is>
          <t>1-5越高越好</t>
        </is>
      </c>
      <c r="E23" s="16" t="n"/>
    </row>
    <row r="24">
      <c r="A24" s="4" t="inlineStr">
        <is>
          <t>外在调节</t>
        </is>
      </c>
      <c r="B24" s="5" t="inlineStr">
        <is>
          <t>子量表均分（3题）</t>
        </is>
      </c>
      <c r="C24" s="12">
        <f>IFERROR(ROUND(AVERAGE(C14:C16),2),"")</f>
        <v/>
      </c>
      <c r="D24" s="11" t="inlineStr">
        <is>
          <t>1-5越高越好</t>
        </is>
      </c>
      <c r="E24" s="16" t="n"/>
    </row>
    <row r="25">
      <c r="A25" s="4" t="inlineStr">
        <is>
          <t>无动机</t>
        </is>
      </c>
      <c r="B25" s="5" t="inlineStr">
        <is>
          <t>子量表均分（3题）</t>
        </is>
      </c>
      <c r="C25" s="12">
        <f>IFERROR(ROUND(AVERAGE(C17:C19),2),"")</f>
        <v/>
      </c>
      <c r="D25" s="11" t="inlineStr">
        <is>
          <t>1-5越高越好</t>
        </is>
      </c>
      <c r="E25" s="16" t="n"/>
    </row>
    <row r="26">
      <c r="A26" s="13" t="inlineStr">
        <is>
          <t>总均分</t>
        </is>
      </c>
      <c r="B26" s="14" t="inlineStr">
        <is>
          <t>全部子量表均值</t>
        </is>
      </c>
      <c r="C26" s="15">
        <f>IFERROR(ROUND(AVERAGE(C22,C23,C24,C25),2),"")</f>
        <v/>
      </c>
      <c r="D26" s="16" t="inlineStr">
        <is>
          <t>核心判读指标</t>
        </is>
      </c>
      <c r="E26" s="16" t="n"/>
    </row>
    <row r="28" ht="22" customHeight="1">
      <c r="A28" s="17" t="inlineStr">
        <is>
          <t>【结果判读区】　（依据下方标准自动给出结论）</t>
        </is>
      </c>
    </row>
    <row r="29">
      <c r="A29" s="21" t="inlineStr">
        <is>
          <t>内在动机</t>
        </is>
      </c>
      <c r="C29" s="19">
        <f>C22</f>
        <v/>
      </c>
      <c r="E29" s="22">
        <f>IF(C22="","",IF(C22&gt;=5.0,"良好",IF(C22&gt;=3.5,"中等·需关注","薄弱·待加强")))</f>
        <v/>
      </c>
    </row>
    <row r="30">
      <c r="A30" s="21" t="inlineStr">
        <is>
          <t>认同调节</t>
        </is>
      </c>
      <c r="C30" s="19">
        <f>C23</f>
        <v/>
      </c>
      <c r="E30" s="22">
        <f>IF(C23="","",IF(C23&gt;=5.0,"良好",IF(C23&gt;=3.5,"中等·需关注","薄弱·待加强")))</f>
        <v/>
      </c>
    </row>
    <row r="31">
      <c r="A31" s="21" t="inlineStr">
        <is>
          <t>外在调节</t>
        </is>
      </c>
      <c r="C31" s="19">
        <f>C24</f>
        <v/>
      </c>
      <c r="E31" s="22">
        <f>IF(C24="","",IF(C24&gt;=5.0,"良好",IF(C24&gt;=3.5,"中等·需关注","薄弱·待加强")))</f>
        <v/>
      </c>
    </row>
    <row r="32">
      <c r="A32" s="21" t="inlineStr">
        <is>
          <t>无动机</t>
        </is>
      </c>
      <c r="C32" s="19">
        <f>C25</f>
        <v/>
      </c>
      <c r="E32" s="22">
        <f>IF(C25="","",IF(C25&gt;=5.0,"良好",IF(C25&gt;=3.5,"中等·需关注","薄弱·待加强")))</f>
        <v/>
      </c>
    </row>
    <row r="33" ht="24" customHeight="1">
      <c r="A33" s="23" t="inlineStr">
        <is>
          <t>总均分结论</t>
        </is>
      </c>
      <c r="C33" s="24">
        <f>C26</f>
        <v/>
      </c>
      <c r="E33" s="20">
        <f>IF(C26="","",IF(C26&gt;=5.0,"整体良好",IF(C26&gt;=3.5,"存在薄弱维度·进入问题归因","多项薄弱·优先干预")))</f>
        <v/>
      </c>
    </row>
  </sheetData>
  <mergeCells count="8">
    <mergeCell ref="A21:E21"/>
    <mergeCell ref="A4:E4"/>
    <mergeCell ref="A2:E2"/>
    <mergeCell ref="A28:E28"/>
    <mergeCell ref="D7"/>
    <mergeCell ref="A1:E1"/>
    <mergeCell ref="A5:E5"/>
    <mergeCell ref="A3:E3"/>
  </mergeCells>
  <conditionalFormatting sqref="C8:C19">
    <cfRule type="colorScale" priority="1">
      <colorScale>
        <cfvo type="num" val="1"/>
        <cfvo type="num" val="4"/>
        <cfvo type="num" val="7"/>
        <color rgb="00FFEBEE"/>
        <color rgb="00FFF9C4"/>
        <color rgb="00C8E6C9"/>
      </colorScale>
    </cfRule>
  </conditionalFormatting>
  <dataValidations count="1">
    <dataValidation sqref="C8:C19" showDropDown="0" showInputMessage="0" showErrorMessage="0" allowBlank="1" error="请选择规定分值" prompt="可选：1,2,3,4,5,6,7" type="list">
      <formula1>"1,2,3,4,5,6,7"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1" customWidth="1" min="3" max="3"/>
    <col width="11" customWidth="1" min="4" max="4"/>
    <col width="22" customWidth="1" min="5" max="5"/>
  </cols>
  <sheetData>
    <row r="1" ht="30" customHeight="1">
      <c r="A1" s="1" t="inlineStr">
        <is>
          <t>04　学业情绪量表（AEQ 精华版）</t>
        </is>
      </c>
    </row>
    <row r="2" ht="20" customHeight="1">
      <c r="A2" s="2" t="inlineStr">
        <is>
          <t>评估积极/消极学业情绪，识别情绪性学习困难，对应工具 F-11</t>
        </is>
      </c>
    </row>
    <row r="3" ht="18" customHeight="1">
      <c r="A3" s="3" t="inlineStr">
        <is>
          <t>适用学段：全学段（低段由教师/家长观察代评）　｜　量表来源/依据：学业情绪问卷 AEQ（Pekrun）精简12题；校合用精华版</t>
        </is>
      </c>
    </row>
    <row r="4" ht="30" customHeight="1">
      <c r="A4" s="7" t="inlineStr">
        <is>
          <t>指导语：请学生回想上课、作业、考试时的感受作答。1=从不，5=总是。消极题得分越高代表该情绪越频繁。</t>
        </is>
      </c>
    </row>
    <row r="5" ht="28" customHeight="1">
      <c r="A5" s="7" t="inlineStr">
        <is>
          <t>评分锚点：1=从不　2=很少　3=有时　4=经常　5=总是</t>
        </is>
      </c>
    </row>
    <row r="7" ht="22" customHeight="1">
      <c r="A7" s="8" t="inlineStr">
        <is>
          <t>序号</t>
        </is>
      </c>
      <c r="B7" s="8" t="inlineStr">
        <is>
          <t>题项</t>
        </is>
      </c>
      <c r="C7" s="8" t="inlineStr">
        <is>
          <t>评分</t>
        </is>
      </c>
      <c r="D7" s="8" t="inlineStr">
        <is>
          <t>备注/锚点提示</t>
        </is>
      </c>
    </row>
    <row r="8">
      <c r="A8" s="9" t="n">
        <v>1</v>
      </c>
      <c r="B8" s="5" t="inlineStr">
        <is>
          <t>听懂课时我感到开心</t>
        </is>
      </c>
      <c r="C8" s="10" t="n"/>
      <c r="D8" s="11" t="inlineStr"/>
    </row>
    <row r="9">
      <c r="A9" s="9" t="n">
        <v>2</v>
      </c>
      <c r="B9" s="5" t="inlineStr">
        <is>
          <t>解决难题让我愉悦</t>
        </is>
      </c>
      <c r="C9" s="10" t="n"/>
      <c r="D9" s="11" t="inlineStr"/>
    </row>
    <row r="10">
      <c r="A10" s="9" t="n">
        <v>3</v>
      </c>
      <c r="B10" s="5" t="inlineStr">
        <is>
          <t>我相信自己能学好</t>
        </is>
      </c>
      <c r="C10" s="10" t="n"/>
      <c r="D10" s="11" t="inlineStr"/>
    </row>
    <row r="11">
      <c r="A11" s="9" t="n">
        <v>4</v>
      </c>
      <c r="B11" s="5" t="inlineStr">
        <is>
          <t>我对进步充满期待</t>
        </is>
      </c>
      <c r="C11" s="10" t="n"/>
      <c r="D11" s="11" t="inlineStr"/>
    </row>
    <row r="12">
      <c r="A12" s="9" t="n">
        <v>5</v>
      </c>
      <c r="B12" s="5" t="inlineStr">
        <is>
          <t>取得好成绩我为自己骄傲</t>
        </is>
      </c>
      <c r="C12" s="10" t="n"/>
      <c r="D12" s="11" t="inlineStr"/>
    </row>
    <row r="13">
      <c r="A13" s="9" t="n">
        <v>6</v>
      </c>
      <c r="B13" s="5" t="inlineStr">
        <is>
          <t>掌握新技能我有成就感</t>
        </is>
      </c>
      <c r="C13" s="10" t="n"/>
      <c r="D13" s="11" t="inlineStr"/>
    </row>
    <row r="14">
      <c r="A14" s="9" t="n">
        <v>7</v>
      </c>
      <c r="B14" s="5" t="inlineStr">
        <is>
          <t>考试前我会紧张不安</t>
        </is>
      </c>
      <c r="C14" s="10" t="n"/>
      <c r="D14" s="11" t="inlineStr"/>
    </row>
    <row r="15">
      <c r="A15" s="9" t="n">
        <v>8</v>
      </c>
      <c r="B15" s="5" t="inlineStr">
        <is>
          <t>怕考不好让我担心</t>
        </is>
      </c>
      <c r="C15" s="10" t="n"/>
      <c r="D15" s="11" t="inlineStr"/>
    </row>
    <row r="16">
      <c r="A16" s="9" t="n">
        <v>9</v>
      </c>
      <c r="B16" s="5" t="inlineStr">
        <is>
          <t>上课时常觉得枯燥没意思</t>
        </is>
      </c>
      <c r="C16" s="10" t="n"/>
      <c r="D16" s="11" t="inlineStr"/>
    </row>
    <row r="17">
      <c r="A17" s="9" t="n">
        <v>10</v>
      </c>
      <c r="B17" s="5" t="inlineStr">
        <is>
          <t>觉得作业单调乏味</t>
        </is>
      </c>
      <c r="C17" s="10" t="n"/>
      <c r="D17" s="11" t="inlineStr"/>
    </row>
    <row r="18">
      <c r="A18" s="9" t="n">
        <v>11</v>
      </c>
      <c r="B18" s="5" t="inlineStr">
        <is>
          <t>成绩差时觉得自己不行</t>
        </is>
      </c>
      <c r="C18" s="10" t="n"/>
      <c r="D18" s="11" t="inlineStr"/>
    </row>
    <row r="19">
      <c r="A19" s="9" t="n">
        <v>12</v>
      </c>
      <c r="B19" s="5" t="inlineStr">
        <is>
          <t>出错时怕被同学笑话</t>
        </is>
      </c>
      <c r="C19" s="10" t="n"/>
      <c r="D19" s="11" t="inlineStr"/>
    </row>
    <row r="21" ht="22" customHeight="1">
      <c r="A21" s="6" t="inlineStr">
        <is>
          <t>【自动计分区】　（填完上方分值，下方自动计算；请勿手改）</t>
        </is>
      </c>
    </row>
    <row r="22">
      <c r="A22" s="4" t="inlineStr">
        <is>
          <t>积极情绪(享受/希望/自豪)</t>
        </is>
      </c>
      <c r="B22" s="5" t="inlineStr">
        <is>
          <t>子量表均分（6题）</t>
        </is>
      </c>
      <c r="C22" s="12">
        <f>IFERROR(ROUND(AVERAGE(C8:C13),2),"")</f>
        <v/>
      </c>
      <c r="D22" s="11" t="inlineStr">
        <is>
          <t>1-5越高越好</t>
        </is>
      </c>
      <c r="E22" s="16" t="n"/>
    </row>
    <row r="23">
      <c r="A23" s="4" t="inlineStr">
        <is>
          <t>消极情绪(焦虑/无聊/羞耻)</t>
        </is>
      </c>
      <c r="B23" s="5" t="inlineStr">
        <is>
          <t>子量表均分（6题）</t>
        </is>
      </c>
      <c r="C23" s="12">
        <f>IFERROR(ROUND(AVERAGE(C14:C19),2),"")</f>
        <v/>
      </c>
      <c r="D23" s="11" t="inlineStr">
        <is>
          <t>1-5越高越好</t>
        </is>
      </c>
      <c r="E23" s="16" t="n"/>
    </row>
    <row r="24">
      <c r="A24" s="13" t="inlineStr">
        <is>
          <t>总均分</t>
        </is>
      </c>
      <c r="B24" s="14" t="inlineStr">
        <is>
          <t>全部子量表均值</t>
        </is>
      </c>
      <c r="C24" s="15">
        <f>IFERROR(ROUND(AVERAGE(C22,C23),2),"")</f>
        <v/>
      </c>
      <c r="D24" s="16" t="inlineStr">
        <is>
          <t>核心判读指标</t>
        </is>
      </c>
      <c r="E24" s="16" t="n"/>
    </row>
    <row r="26" ht="22" customHeight="1">
      <c r="A26" s="17" t="inlineStr">
        <is>
          <t>【结果判读区】　（依据下方标准自动给出结论）</t>
        </is>
      </c>
    </row>
    <row r="27">
      <c r="A27" s="21" t="inlineStr">
        <is>
          <t>积极情绪(享受/希望/自豪)</t>
        </is>
      </c>
      <c r="C27" s="19">
        <f>C22</f>
        <v/>
      </c>
      <c r="E27" s="22">
        <f>IF(C22="","",IF(C22&gt;=3.5,"良好",IF(C22&gt;=2.5,"中等·需关注","薄弱·待加强")))</f>
        <v/>
      </c>
    </row>
    <row r="28">
      <c r="A28" s="21" t="inlineStr">
        <is>
          <t>消极情绪(焦虑/无聊/羞耻)</t>
        </is>
      </c>
      <c r="C28" s="19">
        <f>C23</f>
        <v/>
      </c>
      <c r="E28" s="22">
        <f>IF(C23="","",IF(C23&gt;=3.5,"良好",IF(C23&gt;=2.5,"中等·需关注","薄弱·待加强")))</f>
        <v/>
      </c>
    </row>
    <row r="29" ht="24" customHeight="1">
      <c r="A29" s="23" t="inlineStr">
        <is>
          <t>总均分结论</t>
        </is>
      </c>
      <c r="C29" s="24">
        <f>C24</f>
        <v/>
      </c>
      <c r="E29" s="20">
        <f>IF(C24="","",IF(C24&gt;=3.5,"整体良好",IF(C24&gt;=2.5,"存在薄弱维度·进入问题归因","多项薄弱·优先干预")))</f>
        <v/>
      </c>
    </row>
  </sheetData>
  <mergeCells count="8">
    <mergeCell ref="A21:E21"/>
    <mergeCell ref="A4:E4"/>
    <mergeCell ref="A26:E26"/>
    <mergeCell ref="A2:E2"/>
    <mergeCell ref="D7"/>
    <mergeCell ref="A1:E1"/>
    <mergeCell ref="A5:E5"/>
    <mergeCell ref="A3:E3"/>
  </mergeCells>
  <conditionalFormatting sqref="C8:C19">
    <cfRule type="colorScale" priority="1">
      <colorScale>
        <cfvo type="num" val="1"/>
        <cfvo type="num" val="3"/>
        <cfvo type="num" val="5"/>
        <color rgb="00FFEBEE"/>
        <color rgb="00FFF9C4"/>
        <color rgb="00C8E6C9"/>
      </colorScale>
    </cfRule>
  </conditionalFormatting>
  <dataValidations count="1">
    <dataValidation sqref="C8:C19" showDropDown="0" showInputMessage="0" showErrorMessage="0" allowBlank="1" error="请选择规定分值" prompt="可选：1,2,3,4,5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1" customWidth="1" min="3" max="3"/>
    <col width="11" customWidth="1" min="4" max="4"/>
    <col width="22" customWidth="1" min="5" max="5"/>
  </cols>
  <sheetData>
    <row r="1" ht="30" customHeight="1">
      <c r="A1" s="1" t="inlineStr">
        <is>
          <t>05　依恋关系评估量表（精华版）</t>
        </is>
      </c>
    </row>
    <row r="2" ht="20" customHeight="1">
      <c r="A2" s="2" t="inlineStr">
        <is>
          <t>评估亲子依恋安全性，识别回避/矛盾/紊乱风险，对应工具 F-10</t>
        </is>
      </c>
    </row>
    <row r="3" ht="18" customHeight="1">
      <c r="A3" s="3" t="inlineStr">
        <is>
          <t>适用学段：全学段（低中段重点看分离焦虑与求助回避）　｜　量表来源/依据：亲子依恋量表（IPPA 精简）＋师生依恋观察；校合用精华版</t>
        </is>
      </c>
    </row>
    <row r="4" ht="30" customHeight="1">
      <c r="A4" s="7" t="inlineStr">
        <is>
          <t>指导语：请班主任结合日常观察与学生自述评定。1=完全不符合，5=完全符合。第10-12题为风险项，系统已自动反向计分。</t>
        </is>
      </c>
    </row>
    <row r="5" ht="28" customHeight="1">
      <c r="A5" s="7" t="inlineStr">
        <is>
          <t>评分锚点：1=完全不符合　2=不太符合　3=中立　4=比较符合　5=完全符合（风险项反向）</t>
        </is>
      </c>
    </row>
    <row r="7" ht="22" customHeight="1">
      <c r="A7" s="8" t="inlineStr">
        <is>
          <t>序号</t>
        </is>
      </c>
      <c r="B7" s="8" t="inlineStr">
        <is>
          <t>题项</t>
        </is>
      </c>
      <c r="C7" s="8" t="inlineStr">
        <is>
          <t>评分</t>
        </is>
      </c>
      <c r="D7" s="8" t="inlineStr">
        <is>
          <t>备注/锚点提示</t>
        </is>
      </c>
    </row>
    <row r="8">
      <c r="A8" s="9" t="n">
        <v>1</v>
      </c>
      <c r="B8" s="5" t="inlineStr">
        <is>
          <t>遇到困难时愿意主动找父母说</t>
        </is>
      </c>
      <c r="C8" s="10" t="n"/>
      <c r="D8" s="11" t="inlineStr"/>
    </row>
    <row r="9">
      <c r="A9" s="9" t="n">
        <v>2</v>
      </c>
      <c r="B9" s="5" t="inlineStr">
        <is>
          <t>喜欢和父母一起做事情</t>
        </is>
      </c>
      <c r="C9" s="10" t="n"/>
      <c r="D9" s="11" t="inlineStr"/>
    </row>
    <row r="10">
      <c r="A10" s="9" t="n">
        <v>3</v>
      </c>
      <c r="B10" s="5" t="inlineStr">
        <is>
          <t>和父母分开一段时间后想念他们</t>
        </is>
      </c>
      <c r="C10" s="10" t="n"/>
      <c r="D10" s="11" t="inlineStr"/>
    </row>
    <row r="11">
      <c r="A11" s="9" t="n">
        <v>4</v>
      </c>
      <c r="B11" s="5" t="inlineStr">
        <is>
          <t>受委屈时找父母能平静下来</t>
        </is>
      </c>
      <c r="C11" s="10" t="n"/>
      <c r="D11" s="11" t="inlineStr"/>
    </row>
    <row r="12">
      <c r="A12" s="9" t="n">
        <v>5</v>
      </c>
      <c r="B12" s="5" t="inlineStr">
        <is>
          <t>做重要决定会参考父母意见</t>
        </is>
      </c>
      <c r="C12" s="10" t="n"/>
      <c r="D12" s="11" t="inlineStr"/>
    </row>
    <row r="13">
      <c r="A13" s="9" t="n">
        <v>6</v>
      </c>
      <c r="B13" s="5" t="inlineStr">
        <is>
          <t>在新环境会先看父母反应再行动</t>
        </is>
      </c>
      <c r="C13" s="10" t="n"/>
      <c r="D13" s="11" t="inlineStr"/>
    </row>
    <row r="14">
      <c r="A14" s="9" t="n">
        <v>7</v>
      </c>
      <c r="B14" s="5" t="inlineStr">
        <is>
          <t>我相信父母会支持我</t>
        </is>
      </c>
      <c r="C14" s="10" t="n"/>
      <c r="D14" s="11" t="inlineStr"/>
    </row>
    <row r="15">
      <c r="A15" s="9" t="n">
        <v>8</v>
      </c>
      <c r="B15" s="5" t="inlineStr">
        <is>
          <t>犯错后不怕被父母嫌弃</t>
        </is>
      </c>
      <c r="C15" s="10" t="n"/>
      <c r="D15" s="11" t="inlineStr"/>
    </row>
    <row r="16">
      <c r="A16" s="9" t="n">
        <v>9</v>
      </c>
      <c r="B16" s="5" t="inlineStr">
        <is>
          <t>我觉得父母是可靠的</t>
        </is>
      </c>
      <c r="C16" s="10" t="n"/>
      <c r="D16" s="11" t="inlineStr"/>
    </row>
    <row r="17">
      <c r="A17" s="9" t="n">
        <v>10</v>
      </c>
      <c r="B17" s="5" t="inlineStr">
        <is>
          <t>有事宁愿憋着也不告诉父母（风险·反向）</t>
        </is>
      </c>
      <c r="C17" s="10" t="n"/>
      <c r="D17" s="11" t="inlineStr"/>
    </row>
    <row r="18">
      <c r="A18" s="9" t="n">
        <v>11</v>
      </c>
      <c r="B18" s="5" t="inlineStr">
        <is>
          <t>怕和父母亲近会受伤（风险·反向）</t>
        </is>
      </c>
      <c r="C18" s="10" t="n"/>
      <c r="D18" s="11" t="inlineStr"/>
    </row>
    <row r="19">
      <c r="A19" s="9" t="n">
        <v>12</v>
      </c>
      <c r="B19" s="5" t="inlineStr">
        <is>
          <t>对父母的承诺将信将疑（风险·反向）</t>
        </is>
      </c>
      <c r="C19" s="10" t="n"/>
      <c r="D19" s="11" t="inlineStr"/>
    </row>
    <row r="21" ht="22" customHeight="1">
      <c r="A21" s="6" t="inlineStr">
        <is>
          <t>【自动计分区】　（填完上方分值，下方自动计算；请勿手改）</t>
        </is>
      </c>
    </row>
    <row r="22">
      <c r="A22" s="4" t="inlineStr">
        <is>
          <t>安全-亲近</t>
        </is>
      </c>
      <c r="B22" s="5" t="inlineStr">
        <is>
          <t>子量表均分（3题）</t>
        </is>
      </c>
      <c r="C22" s="12">
        <f>IFERROR(ROUND(AVERAGE(C8:C10),2),"")</f>
        <v/>
      </c>
      <c r="D22" s="11" t="inlineStr">
        <is>
          <t>1-5越高越好（反向维已自动折换）</t>
        </is>
      </c>
      <c r="E22" s="16" t="n"/>
    </row>
    <row r="23">
      <c r="A23" s="4" t="inlineStr">
        <is>
          <t>安全-依赖</t>
        </is>
      </c>
      <c r="B23" s="5" t="inlineStr">
        <is>
          <t>子量表均分（3题）</t>
        </is>
      </c>
      <c r="C23" s="12">
        <f>IFERROR(ROUND(AVERAGE(C11:C13),2),"")</f>
        <v/>
      </c>
      <c r="D23" s="11" t="inlineStr">
        <is>
          <t>1-5越高越好（反向维已自动折换）</t>
        </is>
      </c>
      <c r="E23" s="16" t="n"/>
    </row>
    <row r="24">
      <c r="A24" s="4" t="inlineStr">
        <is>
          <t>安全-安全感</t>
        </is>
      </c>
      <c r="B24" s="5" t="inlineStr">
        <is>
          <t>子量表均分（3题）</t>
        </is>
      </c>
      <c r="C24" s="12">
        <f>IFERROR(ROUND(AVERAGE(C14:C16),2),"")</f>
        <v/>
      </c>
      <c r="D24" s="11" t="inlineStr">
        <is>
          <t>1-5越高越好（反向维已自动折换）</t>
        </is>
      </c>
      <c r="E24" s="16" t="n"/>
    </row>
    <row r="25">
      <c r="A25" s="4" t="inlineStr">
        <is>
          <t>风险项(回避/矛盾/紊乱)</t>
        </is>
      </c>
      <c r="B25" s="5" t="inlineStr">
        <is>
          <t>子量表均分（3题）</t>
        </is>
      </c>
      <c r="C25" s="12">
        <f>ROUND(((6-C17)+(6-C18)+(6-C19))/3,2)</f>
        <v/>
      </c>
      <c r="D25" s="11" t="inlineStr">
        <is>
          <t>1-5越高越好（反向维已自动折换）</t>
        </is>
      </c>
      <c r="E25" s="16" t="n"/>
    </row>
    <row r="26">
      <c r="A26" s="13" t="inlineStr">
        <is>
          <t>总均分</t>
        </is>
      </c>
      <c r="B26" s="14" t="inlineStr">
        <is>
          <t>全部子量表均值</t>
        </is>
      </c>
      <c r="C26" s="15">
        <f>IFERROR(ROUND(AVERAGE(C22,C23,C24,C25),2),"")</f>
        <v/>
      </c>
      <c r="D26" s="16" t="inlineStr">
        <is>
          <t>核心判读指标</t>
        </is>
      </c>
      <c r="E26" s="16" t="n"/>
    </row>
    <row r="28" ht="22" customHeight="1">
      <c r="A28" s="17" t="inlineStr">
        <is>
          <t>【结果判读区】　（依据下方标准自动给出结论）</t>
        </is>
      </c>
    </row>
    <row r="29">
      <c r="A29" s="21" t="inlineStr">
        <is>
          <t>安全-亲近</t>
        </is>
      </c>
      <c r="C29" s="19">
        <f>C22</f>
        <v/>
      </c>
      <c r="E29" s="22">
        <f>IF(C22="","",IF(C22&gt;=3.5,"良好",IF(C22&gt;=2.5,"中等·需关注","薄弱·待加强")))</f>
        <v/>
      </c>
    </row>
    <row r="30">
      <c r="A30" s="21" t="inlineStr">
        <is>
          <t>安全-依赖</t>
        </is>
      </c>
      <c r="C30" s="19">
        <f>C23</f>
        <v/>
      </c>
      <c r="E30" s="22">
        <f>IF(C23="","",IF(C23&gt;=3.5,"良好",IF(C23&gt;=2.5,"中等·需关注","薄弱·待加强")))</f>
        <v/>
      </c>
    </row>
    <row r="31">
      <c r="A31" s="21" t="inlineStr">
        <is>
          <t>安全-安全感</t>
        </is>
      </c>
      <c r="C31" s="19">
        <f>C24</f>
        <v/>
      </c>
      <c r="E31" s="22">
        <f>IF(C24="","",IF(C24&gt;=3.5,"良好",IF(C24&gt;=2.5,"中等·需关注","薄弱·待加强")))</f>
        <v/>
      </c>
    </row>
    <row r="32">
      <c r="A32" s="21" t="inlineStr">
        <is>
          <t>风险项(回避/矛盾/紊乱)</t>
        </is>
      </c>
      <c r="C32" s="19">
        <f>C25</f>
        <v/>
      </c>
      <c r="E32" s="22">
        <f>IF(C25="","",IF(C25&gt;=3.5,"良好",IF(C25&gt;=2.5,"中等·需关注","薄弱·待加强")))</f>
        <v/>
      </c>
    </row>
    <row r="33" ht="24" customHeight="1">
      <c r="A33" s="23" t="inlineStr">
        <is>
          <t>总均分结论</t>
        </is>
      </c>
      <c r="C33" s="24">
        <f>C26</f>
        <v/>
      </c>
      <c r="E33" s="20">
        <f>IF(C26="","",IF(C26&gt;=3.5,"整体良好",IF(C26&gt;=2.5,"存在薄弱维度·进入问题归因","多项薄弱·优先干预")))</f>
        <v/>
      </c>
    </row>
  </sheetData>
  <mergeCells count="8">
    <mergeCell ref="A21:E21"/>
    <mergeCell ref="A4:E4"/>
    <mergeCell ref="A2:E2"/>
    <mergeCell ref="A28:E28"/>
    <mergeCell ref="D7"/>
    <mergeCell ref="A1:E1"/>
    <mergeCell ref="A5:E5"/>
    <mergeCell ref="A3:E3"/>
  </mergeCells>
  <conditionalFormatting sqref="C8:C19">
    <cfRule type="colorScale" priority="1">
      <colorScale>
        <cfvo type="num" val="1"/>
        <cfvo type="num" val="3"/>
        <cfvo type="num" val="5"/>
        <color rgb="00FFEBEE"/>
        <color rgb="00FFF9C4"/>
        <color rgb="00C8E6C9"/>
      </colorScale>
    </cfRule>
  </conditionalFormatting>
  <dataValidations count="1">
    <dataValidation sqref="C8:C19" showDropDown="0" showInputMessage="0" showErrorMessage="0" allowBlank="1" error="请选择规定分值" prompt="可选：1,2,3,4,5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1" customWidth="1" min="3" max="3"/>
    <col width="11" customWidth="1" min="4" max="4"/>
    <col width="22" customWidth="1" min="5" max="5"/>
  </cols>
  <sheetData>
    <row r="1" ht="30" customHeight="1">
      <c r="A1" s="1" t="inlineStr">
        <is>
          <t>06　课堂观察评定量表（精华版）</t>
        </is>
      </c>
    </row>
    <row r="2" ht="20" customHeight="1">
      <c r="A2" s="2" t="inlineStr">
        <is>
          <t>班主任连续1-2周课堂观察的结构化评定，对应工具 F-02</t>
        </is>
      </c>
    </row>
    <row r="3" ht="18" customHeight="1">
      <c r="A3" s="3" t="inlineStr">
        <is>
          <t>适用学段：全学段（低段行为观察权重更高）　｜　量表来源/依据：课堂行为评定量表（CBRS）精简10维；校合用精华版</t>
        </is>
      </c>
    </row>
    <row r="4" ht="30" customHeight="1">
      <c r="A4" s="7" t="inlineStr">
        <is>
          <t>指导语：请就最近1-2周课堂真实表现逐项评定。1=差，2=较弱，3=一般，4=较好，5=优。建议每周汇总一次。</t>
        </is>
      </c>
    </row>
    <row r="5" ht="28" customHeight="1">
      <c r="A5" s="7" t="inlineStr">
        <is>
          <t>评分锚点：1=差　2=较弱　3=一般　4=较好　5=优</t>
        </is>
      </c>
    </row>
    <row r="7" ht="22" customHeight="1">
      <c r="A7" s="8" t="inlineStr">
        <is>
          <t>序号</t>
        </is>
      </c>
      <c r="B7" s="8" t="inlineStr">
        <is>
          <t>题项</t>
        </is>
      </c>
      <c r="C7" s="8" t="inlineStr">
        <is>
          <t>评分</t>
        </is>
      </c>
      <c r="D7" s="8" t="inlineStr">
        <is>
          <t>备注/锚点提示</t>
        </is>
      </c>
    </row>
    <row r="8">
      <c r="A8" s="9" t="n">
        <v>1</v>
      </c>
      <c r="B8" s="5" t="inlineStr">
        <is>
          <t>课堂任务投入度</t>
        </is>
      </c>
      <c r="C8" s="10" t="n"/>
      <c r="D8" s="11" t="inlineStr"/>
    </row>
    <row r="9">
      <c r="A9" s="9" t="n">
        <v>2</v>
      </c>
      <c r="B9" s="5" t="inlineStr">
        <is>
          <t>注意力持续性</t>
        </is>
      </c>
      <c r="C9" s="10" t="n"/>
      <c r="D9" s="11" t="inlineStr"/>
    </row>
    <row r="10">
      <c r="A10" s="9" t="n">
        <v>3</v>
      </c>
      <c r="B10" s="5" t="inlineStr">
        <is>
          <t>主动举手/发言</t>
        </is>
      </c>
      <c r="C10" s="10" t="n"/>
      <c r="D10" s="11" t="inlineStr"/>
    </row>
    <row r="11">
      <c r="A11" s="9" t="n">
        <v>4</v>
      </c>
      <c r="B11" s="5" t="inlineStr">
        <is>
          <t>听讲理解（跟得上进度）</t>
        </is>
      </c>
      <c r="C11" s="10" t="n"/>
      <c r="D11" s="11" t="inlineStr"/>
    </row>
    <row r="12">
      <c r="A12" s="9" t="n">
        <v>5</v>
      </c>
      <c r="B12" s="5" t="inlineStr">
        <is>
          <t>笔记/记录习惯</t>
        </is>
      </c>
      <c r="C12" s="10" t="n"/>
      <c r="D12" s="11" t="inlineStr"/>
    </row>
    <row r="13">
      <c r="A13" s="9" t="n">
        <v>6</v>
      </c>
      <c r="B13" s="5" t="inlineStr">
        <is>
          <t>同伴合作表现</t>
        </is>
      </c>
      <c r="C13" s="10" t="n"/>
      <c r="D13" s="11" t="inlineStr"/>
    </row>
    <row r="14">
      <c r="A14" s="9" t="n">
        <v>7</v>
      </c>
      <c r="B14" s="5" t="inlineStr">
        <is>
          <t>遵守课堂规则</t>
        </is>
      </c>
      <c r="C14" s="10" t="n"/>
      <c r="D14" s="11" t="inlineStr"/>
    </row>
    <row r="15">
      <c r="A15" s="9" t="n">
        <v>8</v>
      </c>
      <c r="B15" s="5" t="inlineStr">
        <is>
          <t>面对困难的坚持</t>
        </is>
      </c>
      <c r="C15" s="10" t="n"/>
      <c r="D15" s="11" t="inlineStr"/>
    </row>
    <row r="16">
      <c r="A16" s="9" t="n">
        <v>9</v>
      </c>
      <c r="B16" s="5" t="inlineStr">
        <is>
          <t>情绪稳定性</t>
        </is>
      </c>
      <c r="C16" s="10" t="n"/>
      <c r="D16" s="11" t="inlineStr"/>
    </row>
    <row r="17">
      <c r="A17" s="9" t="n">
        <v>10</v>
      </c>
      <c r="B17" s="5" t="inlineStr">
        <is>
          <t>作业按时提交</t>
        </is>
      </c>
      <c r="C17" s="10" t="n"/>
      <c r="D17" s="11" t="inlineStr"/>
    </row>
    <row r="19" ht="22" customHeight="1">
      <c r="A19" s="6" t="inlineStr">
        <is>
          <t>【自动计分区】　（填完上方分值，下方自动计算；请勿手改）</t>
        </is>
      </c>
    </row>
    <row r="20">
      <c r="A20" s="4" t="inlineStr">
        <is>
          <t>课堂参与</t>
        </is>
      </c>
      <c r="B20" s="5" t="inlineStr">
        <is>
          <t>子量表均分（3题）</t>
        </is>
      </c>
      <c r="C20" s="12">
        <f>IFERROR(ROUND(AVERAGE(C8:C10),2),"")</f>
        <v/>
      </c>
      <c r="D20" s="11" t="inlineStr">
        <is>
          <t>1-5越高越好</t>
        </is>
      </c>
      <c r="E20" s="16" t="n"/>
    </row>
    <row r="21">
      <c r="A21" s="4" t="inlineStr">
        <is>
          <t>学业表现</t>
        </is>
      </c>
      <c r="B21" s="5" t="inlineStr">
        <is>
          <t>子量表均分（3题）</t>
        </is>
      </c>
      <c r="C21" s="12">
        <f>IFERROR(ROUND(AVERAGE(C11:C17),2),"")</f>
        <v/>
      </c>
      <c r="D21" s="11" t="inlineStr">
        <is>
          <t>1-5越高越好</t>
        </is>
      </c>
      <c r="E21" s="16" t="n"/>
    </row>
    <row r="22">
      <c r="A22" s="4" t="inlineStr">
        <is>
          <t>社会情绪</t>
        </is>
      </c>
      <c r="B22" s="5" t="inlineStr">
        <is>
          <t>子量表均分（4题）</t>
        </is>
      </c>
      <c r="C22" s="12">
        <f>IFERROR(ROUND(AVERAGE(C13:C16),2),"")</f>
        <v/>
      </c>
      <c r="D22" s="11" t="inlineStr">
        <is>
          <t>1-5越高越好</t>
        </is>
      </c>
      <c r="E22" s="16" t="n"/>
    </row>
    <row r="23">
      <c r="A23" s="13" t="inlineStr">
        <is>
          <t>总均分</t>
        </is>
      </c>
      <c r="B23" s="14" t="inlineStr">
        <is>
          <t>全部子量表均值</t>
        </is>
      </c>
      <c r="C23" s="15">
        <f>IFERROR(ROUND(AVERAGE(C20,C21,C22),2),"")</f>
        <v/>
      </c>
      <c r="D23" s="16" t="inlineStr">
        <is>
          <t>核心判读指标</t>
        </is>
      </c>
      <c r="E23" s="16" t="n"/>
    </row>
    <row r="25" ht="22" customHeight="1">
      <c r="A25" s="17" t="inlineStr">
        <is>
          <t>【结果判读区】　（依据下方标准自动给出结论）</t>
        </is>
      </c>
    </row>
    <row r="26">
      <c r="A26" s="21" t="inlineStr">
        <is>
          <t>课堂参与</t>
        </is>
      </c>
      <c r="C26" s="19">
        <f>C20</f>
        <v/>
      </c>
      <c r="E26" s="22">
        <f>IF(C20="","",IF(C20&gt;=4.0,"良好",IF(C20&gt;=3.0,"中等·需关注","薄弱·待加强")))</f>
        <v/>
      </c>
    </row>
    <row r="27">
      <c r="A27" s="21" t="inlineStr">
        <is>
          <t>学业表现</t>
        </is>
      </c>
      <c r="C27" s="19">
        <f>C21</f>
        <v/>
      </c>
      <c r="E27" s="22">
        <f>IF(C21="","",IF(C21&gt;=4.0,"良好",IF(C21&gt;=3.0,"中等·需关注","薄弱·待加强")))</f>
        <v/>
      </c>
    </row>
    <row r="28">
      <c r="A28" s="21" t="inlineStr">
        <is>
          <t>社会情绪</t>
        </is>
      </c>
      <c r="C28" s="19">
        <f>C22</f>
        <v/>
      </c>
      <c r="E28" s="22">
        <f>IF(C22="","",IF(C22&gt;=4.0,"良好",IF(C22&gt;=3.0,"中等·需关注","薄弱·待加强")))</f>
        <v/>
      </c>
    </row>
    <row r="29" ht="24" customHeight="1">
      <c r="A29" s="23" t="inlineStr">
        <is>
          <t>总均分结论</t>
        </is>
      </c>
      <c r="C29" s="24">
        <f>C23</f>
        <v/>
      </c>
      <c r="E29" s="20">
        <f>IF(C23="","",IF(C23&gt;=4.0,"整体良好",IF(C23&gt;=3.0,"存在薄弱维度·进入问题归因","多项薄弱·优先干预")))</f>
        <v/>
      </c>
    </row>
  </sheetData>
  <mergeCells count="8">
    <mergeCell ref="A4:E4"/>
    <mergeCell ref="A2:E2"/>
    <mergeCell ref="A25:E25"/>
    <mergeCell ref="D7"/>
    <mergeCell ref="A19:E19"/>
    <mergeCell ref="A1:E1"/>
    <mergeCell ref="A5:E5"/>
    <mergeCell ref="A3:E3"/>
  </mergeCells>
  <conditionalFormatting sqref="C8:C17">
    <cfRule type="colorScale" priority="1">
      <colorScale>
        <cfvo type="num" val="1"/>
        <cfvo type="num" val="3"/>
        <cfvo type="num" val="5"/>
        <color rgb="00FFEBEE"/>
        <color rgb="00FFF9C4"/>
        <color rgb="00C8E6C9"/>
      </colorScale>
    </cfRule>
  </conditionalFormatting>
  <dataValidations count="1">
    <dataValidation sqref="C8:C17" showDropDown="0" showInputMessage="0" showErrorMessage="0" allowBlank="1" error="请选择规定分值" prompt="可选：1,2,3,4,5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20" customWidth="1" min="7" max="7"/>
  </cols>
  <sheetData>
    <row r="1" ht="30" customHeight="1">
      <c r="A1" s="1" t="inlineStr">
        <is>
          <t>07　学业成绩趋势与学科诊断速查</t>
        </is>
      </c>
    </row>
    <row r="2" ht="20" customHeight="1">
      <c r="A2" s="2" t="inlineStr">
        <is>
          <t>记录近3次成绩、对比班级均值，自动标记薄弱/偏科/下滑，对应工具 F-03/F-07</t>
        </is>
      </c>
    </row>
    <row r="3" ht="18" customHeight="1">
      <c r="A3" s="3" t="inlineStr">
        <is>
          <t>适用学段：全学段　｜　量表来源/依据：学业成绩分析常规做法；校合精华版</t>
        </is>
      </c>
    </row>
    <row r="4" ht="24" customHeight="1">
      <c r="A4" s="7" t="inlineStr">
        <is>
          <t>用法：填入各科近3次成绩与班级均值，下方“判定”按右侧规则自动给出预警。</t>
        </is>
      </c>
    </row>
    <row r="6" ht="20" customHeight="1">
      <c r="A6" s="8" t="inlineStr">
        <is>
          <t>学科</t>
        </is>
      </c>
      <c r="B6" s="8" t="inlineStr">
        <is>
          <t>第1次</t>
        </is>
      </c>
      <c r="C6" s="8" t="inlineStr">
        <is>
          <t>第2次</t>
        </is>
      </c>
      <c r="D6" s="8" t="inlineStr">
        <is>
          <t>第3次</t>
        </is>
      </c>
      <c r="E6" s="8" t="inlineStr">
        <is>
          <t>班级均值</t>
        </is>
      </c>
      <c r="F6" s="8" t="inlineStr">
        <is>
          <t>趋势</t>
        </is>
      </c>
      <c r="G6" s="8" t="inlineStr">
        <is>
          <t>判定</t>
        </is>
      </c>
    </row>
    <row r="7">
      <c r="A7" s="9" t="inlineStr">
        <is>
          <t>语文</t>
        </is>
      </c>
      <c r="B7" s="25" t="n"/>
      <c r="C7" s="25" t="n"/>
      <c r="D7" s="25" t="n"/>
      <c r="E7" s="25" t="n"/>
      <c r="F7" s="9">
        <f>IF(AND(B7&lt;&gt;"",D7&lt;&gt;""),IF(D7&gt;B7+3,"↑上升",IF(D7&lt;B7-3,"↓下降","→持平")),"")</f>
        <v/>
      </c>
      <c r="G7" s="26">
        <f>IF(AND(E7&lt;&gt;"",D7&lt;&gt;""),IF(D7&lt;E7-10,"⚠学科薄弱(低于均值≥10)",IF(AND(B7&lt;&gt;"",D7&lt;B7-5),"⚠连续下滑",IF(D7&gt;=E7-2,"达标","观察"))),"")</f>
        <v/>
      </c>
    </row>
    <row r="8">
      <c r="A8" s="9" t="inlineStr">
        <is>
          <t>数学</t>
        </is>
      </c>
      <c r="B8" s="25" t="n"/>
      <c r="C8" s="25" t="n"/>
      <c r="D8" s="25" t="n"/>
      <c r="E8" s="25" t="n"/>
      <c r="F8" s="9">
        <f>IF(AND(B8&lt;&gt;"",D8&lt;&gt;""),IF(D8&gt;B8+3,"↑上升",IF(D8&lt;B8-3,"↓下降","→持平")),"")</f>
        <v/>
      </c>
      <c r="G8" s="26">
        <f>IF(AND(E8&lt;&gt;"",D8&lt;&gt;""),IF(D8&lt;E8-10,"⚠学科薄弱(低于均值≥10)",IF(AND(B8&lt;&gt;"",D8&lt;B8-5),"⚠连续下滑",IF(D8&gt;=E8-2,"达标","观察"))),"")</f>
        <v/>
      </c>
    </row>
    <row r="9">
      <c r="A9" s="9" t="inlineStr">
        <is>
          <t>英语</t>
        </is>
      </c>
      <c r="B9" s="25" t="n"/>
      <c r="C9" s="25" t="n"/>
      <c r="D9" s="25" t="n"/>
      <c r="E9" s="25" t="n"/>
      <c r="F9" s="9">
        <f>IF(AND(B9&lt;&gt;"",D9&lt;&gt;""),IF(D9&gt;B9+3,"↑上升",IF(D9&lt;B9-3,"↓下降","→持平")),"")</f>
        <v/>
      </c>
      <c r="G9" s="26">
        <f>IF(AND(E9&lt;&gt;"",D9&lt;&gt;""),IF(D9&lt;E9-10,"⚠学科薄弱(低于均值≥10)",IF(AND(B9&lt;&gt;"",D9&lt;B9-5),"⚠连续下滑",IF(D9&gt;=E9-2,"达标","观察"))),"")</f>
        <v/>
      </c>
    </row>
    <row r="10">
      <c r="A10" s="9" t="inlineStr">
        <is>
          <t>科学/综合</t>
        </is>
      </c>
      <c r="B10" s="25" t="n"/>
      <c r="C10" s="25" t="n"/>
      <c r="D10" s="25" t="n"/>
      <c r="E10" s="25" t="n"/>
      <c r="F10" s="9">
        <f>IF(AND(B10&lt;&gt;"",D10&lt;&gt;""),IF(D10&gt;B10+3,"↑上升",IF(D10&lt;B10-3,"↓下降","→持平")),"")</f>
        <v/>
      </c>
      <c r="G10" s="26">
        <f>IF(AND(E10&lt;&gt;"",D10&lt;&gt;""),IF(D10&lt;E10-10,"⚠学科薄弱(低于均值≥10)",IF(AND(B10&lt;&gt;"",D10&lt;B10-5),"⚠连续下滑",IF(D10&gt;=E10-2,"达标","观察"))),"")</f>
        <v/>
      </c>
    </row>
    <row r="11">
      <c r="A11" s="9" t="inlineStr">
        <is>
          <t>其他</t>
        </is>
      </c>
      <c r="B11" s="25" t="n"/>
      <c r="C11" s="25" t="n"/>
      <c r="D11" s="25" t="n"/>
      <c r="E11" s="25" t="n"/>
      <c r="F11" s="9">
        <f>IF(AND(B11&lt;&gt;"",D11&lt;&gt;""),IF(D11&gt;B11+3,"↑上升",IF(D11&lt;B11-3,"↓下降","→持平")),"")</f>
        <v/>
      </c>
      <c r="G11" s="26">
        <f>IF(AND(E11&lt;&gt;"",D11&lt;&gt;""),IF(D11&lt;E11-10,"⚠学科薄弱(低于均值≥10)",IF(AND(B11&lt;&gt;"",D11&lt;B11-5),"⚠连续下滑",IF(D11&gt;=E11-2,"达标","观察"))),"")</f>
        <v/>
      </c>
    </row>
    <row r="13">
      <c r="A13" s="7" t="inlineStr">
        <is>
          <t>偏科判定（人工查看）：任一科“第3次”低于其他科均值≥15分 → 标注偏科，转归因 A-05 学业差距。</t>
        </is>
      </c>
    </row>
    <row r="14">
      <c r="A14" s="7" t="inlineStr">
        <is>
          <t>多科同时下滑（≥3科“连续下滑”）→ 系统性风险，优先排查家庭/情绪因素，进入问题归因。</t>
        </is>
      </c>
    </row>
  </sheetData>
  <mergeCells count="6">
    <mergeCell ref="A13:G13"/>
    <mergeCell ref="A14:G14"/>
    <mergeCell ref="A1:G1"/>
    <mergeCell ref="A3:G3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24" customWidth="1" min="4" max="4"/>
  </cols>
  <sheetData>
    <row r="1" ht="30" customHeight="1">
      <c r="A1" s="1" t="inlineStr">
        <is>
          <t>08　基础信息采集 · 深度访谈 · 家校协同 · 六力特色</t>
        </is>
      </c>
    </row>
    <row r="2" ht="20" customHeight="1">
      <c r="A2" s="2" t="inlineStr">
        <is>
          <t>事实呈现的结构化采集表单（非计分，标注风险信号），对应工具 F-01/F-03/F-05/F-06/F-07/F-08家校</t>
        </is>
      </c>
    </row>
    <row r="3" ht="18" customHeight="1">
      <c r="A3" s="3" t="inlineStr">
        <is>
          <t>适用学段：全学段　｜　量表来源/依据：家校协同常规访谈框架 + 六力特色观察；校合精华版</t>
        </is>
      </c>
    </row>
    <row r="5" ht="20" customHeight="1">
      <c r="A5" s="6" t="inlineStr">
        <is>
          <t>一、学生基础信息（F-01）</t>
        </is>
      </c>
    </row>
    <row r="6">
      <c r="A6" s="4" t="inlineStr">
        <is>
          <t>姓名 / 性别 / 出生</t>
        </is>
      </c>
      <c r="B6" s="27" t="inlineStr">
        <is>
          <t>____ / ____ / ____</t>
        </is>
      </c>
      <c r="C6" s="28" t="inlineStr">
        <is>
          <t>□正常/□异常</t>
        </is>
      </c>
      <c r="D6" s="11" t="inlineStr">
        <is>
          <t>异常说明/风险标记</t>
        </is>
      </c>
    </row>
    <row r="7">
      <c r="A7" s="4" t="inlineStr">
        <is>
          <t>就读年级 / 班级</t>
        </is>
      </c>
      <c r="B7" s="27" t="inlineStr">
        <is>
          <t>____年级____班</t>
        </is>
      </c>
      <c r="C7" s="28" t="inlineStr">
        <is>
          <t>□正常/□异常</t>
        </is>
      </c>
      <c r="D7" s="11" t="inlineStr">
        <is>
          <t>异常说明/风险标记</t>
        </is>
      </c>
    </row>
    <row r="8">
      <c r="A8" s="4" t="inlineStr">
        <is>
          <t>主要问题主诉</t>
        </is>
      </c>
      <c r="B8" s="27" t="inlineStr">
        <is>
          <t>家长/教师描述的核心困扰（1-2句）</t>
        </is>
      </c>
      <c r="C8" s="28" t="inlineStr">
        <is>
          <t>□正常/□异常</t>
        </is>
      </c>
      <c r="D8" s="11" t="inlineStr">
        <is>
          <t>异常说明/风险标记</t>
        </is>
      </c>
    </row>
    <row r="9">
      <c r="A9" s="4" t="inlineStr">
        <is>
          <t>发生时长</t>
        </is>
      </c>
      <c r="B9" s="27" t="inlineStr">
        <is>
          <t>□近期(≤1月) □中期(1-6月) □长期(&gt;6月)</t>
        </is>
      </c>
      <c r="C9" s="28" t="inlineStr">
        <is>
          <t>□正常/□异常</t>
        </is>
      </c>
      <c r="D9" s="11" t="inlineStr">
        <is>
          <t>异常说明/风险标记</t>
        </is>
      </c>
    </row>
    <row r="10">
      <c r="A10" s="4" t="inlineStr">
        <is>
          <t>严重程度初判</t>
        </is>
      </c>
      <c r="B10" s="27" t="inlineStr">
        <is>
          <t>□轻度 □中度 □重度（影响范围）</t>
        </is>
      </c>
      <c r="C10" s="28" t="inlineStr">
        <is>
          <t>□正常/□异常</t>
        </is>
      </c>
      <c r="D10" s="11" t="inlineStr">
        <is>
          <t>异常说明/风险标记</t>
        </is>
      </c>
    </row>
    <row r="12" ht="20" customHeight="1">
      <c r="A12" s="6" t="inlineStr">
        <is>
          <t>二、成长背景四模块访谈要点（F-01/F-03，打勾异常）</t>
        </is>
      </c>
    </row>
    <row r="13">
      <c r="A13" s="4" t="inlineStr">
        <is>
          <t>成长背景</t>
        </is>
      </c>
      <c r="B13" s="27" t="inlineStr">
        <is>
          <t>喂养/早期发育/转学史：____</t>
        </is>
      </c>
      <c r="C13" s="28" t="inlineStr">
        <is>
          <t>□正常/□异常</t>
        </is>
      </c>
      <c r="D13" s="11" t="inlineStr">
        <is>
          <t>异常说明/风险标记</t>
        </is>
      </c>
    </row>
    <row r="14">
      <c r="A14" s="4" t="inlineStr">
        <is>
          <t>家庭养育</t>
        </is>
      </c>
      <c r="B14" s="27" t="inlineStr">
        <is>
          <t>养育方式(民主/权威/放任/忽视)：____；亲子冲突：□有□无</t>
        </is>
      </c>
      <c r="C14" s="28" t="inlineStr">
        <is>
          <t>□正常/□异常</t>
        </is>
      </c>
      <c r="D14" s="11" t="inlineStr">
        <is>
          <t>异常说明/风险标记</t>
        </is>
      </c>
    </row>
    <row r="15">
      <c r="A15" s="4" t="inlineStr">
        <is>
          <t>学校环境</t>
        </is>
      </c>
      <c r="B15" s="27" t="inlineStr">
        <is>
          <t>师生关系/同伴关系/是否受欺凌：____</t>
        </is>
      </c>
      <c r="C15" s="28" t="inlineStr">
        <is>
          <t>□正常/□异常</t>
        </is>
      </c>
      <c r="D15" s="11" t="inlineStr">
        <is>
          <t>异常说明/风险标记</t>
        </is>
      </c>
    </row>
    <row r="16">
      <c r="A16" s="4" t="inlineStr">
        <is>
          <t>生活习惯</t>
        </is>
      </c>
      <c r="B16" s="27" t="inlineStr">
        <is>
          <t>睡眠时长____h；屏幕时间____h/日；运动____</t>
        </is>
      </c>
      <c r="C16" s="28" t="inlineStr">
        <is>
          <t>□正常/□异常</t>
        </is>
      </c>
      <c r="D16" s="11" t="inlineStr">
        <is>
          <t>异常说明/风险标记</t>
        </is>
      </c>
    </row>
    <row r="18" ht="20" customHeight="1">
      <c r="A18" s="6" t="inlineStr">
        <is>
          <t>三、家庭养育环境风险标记（F-03）</t>
        </is>
      </c>
    </row>
    <row r="19">
      <c r="A19" s="4" t="inlineStr">
        <is>
          <t>家庭结构</t>
        </is>
      </c>
      <c r="B19" s="27" t="inlineStr">
        <is>
          <t>□完整 □离异 □单亲 □其他____；主要照料者____</t>
        </is>
      </c>
      <c r="C19" s="28" t="inlineStr">
        <is>
          <t>□正常/□异常</t>
        </is>
      </c>
      <c r="D19" s="11" t="inlineStr">
        <is>
          <t>异常说明/风险标记</t>
        </is>
      </c>
    </row>
    <row r="20">
      <c r="A20" s="4" t="inlineStr">
        <is>
          <t>高控制/高压</t>
        </is>
      </c>
      <c r="B20" s="27" t="inlineStr">
        <is>
          <t>□是(常批评/惩罚) □否 —— 风险：外控动机、焦虑</t>
        </is>
      </c>
      <c r="C20" s="28" t="inlineStr">
        <is>
          <t>□正常/□异常</t>
        </is>
      </c>
      <c r="D20" s="11" t="inlineStr">
        <is>
          <t>异常说明/风险标记</t>
        </is>
      </c>
    </row>
    <row r="21">
      <c r="A21" s="4" t="inlineStr">
        <is>
          <t>屏幕过量</t>
        </is>
      </c>
      <c r="B21" s="27" t="inlineStr">
        <is>
          <t>□是(&gt;2h/日娱乐屏) □否 —— 风险：注意力、睡眠</t>
        </is>
      </c>
      <c r="C21" s="28" t="inlineStr">
        <is>
          <t>□正常/□异常</t>
        </is>
      </c>
      <c r="D21" s="11" t="inlineStr">
        <is>
          <t>异常说明/风险标记</t>
        </is>
      </c>
    </row>
    <row r="22">
      <c r="A22" s="4" t="inlineStr">
        <is>
          <t>亲子冲突频发</t>
        </is>
      </c>
      <c r="B22" s="27" t="inlineStr">
        <is>
          <t>□是 □否 —— 风险：依恋不安全</t>
        </is>
      </c>
      <c r="C22" s="28" t="inlineStr">
        <is>
          <t>□正常/□异常</t>
        </is>
      </c>
      <c r="D22" s="11" t="inlineStr">
        <is>
          <t>异常说明/风险标记</t>
        </is>
      </c>
    </row>
    <row r="24" ht="20" customHeight="1">
      <c r="A24" s="6" t="inlineStr">
        <is>
          <t>四、六力特色观察（F-05/F-06/F-07，1-5评分）</t>
        </is>
      </c>
    </row>
    <row r="25">
      <c r="A25" s="4" t="inlineStr">
        <is>
          <t>元系统思维水平(F-05)</t>
        </is>
      </c>
      <c r="B25" s="27" t="inlineStr">
        <is>
          <t>信息归类/逻辑链/反思调控：评分__（1-5）</t>
        </is>
      </c>
      <c r="C25" s="28" t="inlineStr">
        <is>
          <t>□正常/□异常</t>
        </is>
      </c>
      <c r="D25" s="11" t="inlineStr">
        <is>
          <t>异常说明/风险标记</t>
        </is>
      </c>
    </row>
    <row r="26">
      <c r="A26" s="4" t="inlineStr">
        <is>
          <t>项目化参与(F-06)</t>
        </is>
      </c>
      <c r="B26" s="27" t="inlineStr">
        <is>
          <t>角色承担/任务分工/同伴协作：评分__（1-5）</t>
        </is>
      </c>
      <c r="C26" s="28" t="inlineStr">
        <is>
          <t>□正常/□异常</t>
        </is>
      </c>
      <c r="D26" s="11" t="inlineStr">
        <is>
          <t>异常说明/风险标记</t>
        </is>
      </c>
    </row>
    <row r="27">
      <c r="A27" s="4" t="inlineStr">
        <is>
          <t>五家课程适应(F-07)</t>
        </is>
      </c>
      <c r="B27" s="27" t="inlineStr">
        <is>
          <t>家/校/社/国/天下 参与度与优势：____</t>
        </is>
      </c>
      <c r="C27" s="28" t="inlineStr">
        <is>
          <t>□正常/□异常</t>
        </is>
      </c>
      <c r="D27" s="11" t="inlineStr">
        <is>
          <t>异常说明/风险标记</t>
        </is>
      </c>
    </row>
    <row r="29" ht="20" customHeight="1">
      <c r="A29" s="6" t="inlineStr">
        <is>
          <t>五、家校协同信息（F-08 家校/三通工程）</t>
        </is>
      </c>
    </row>
    <row r="30">
      <c r="A30" s="4" t="inlineStr">
        <is>
          <t>家校沟通频率</t>
        </is>
      </c>
      <c r="B30" s="27" t="inlineStr">
        <is>
          <t>□每周 □每2周 □每月 □极少</t>
        </is>
      </c>
      <c r="C30" s="28" t="inlineStr">
        <is>
          <t>□正常/□异常</t>
        </is>
      </c>
      <c r="D30" s="11" t="inlineStr">
        <is>
          <t>异常说明/风险标记</t>
        </is>
      </c>
    </row>
    <row r="31">
      <c r="A31" s="4" t="inlineStr">
        <is>
          <t>家长配合意愿</t>
        </is>
      </c>
      <c r="B31" s="27" t="inlineStr">
        <is>
          <t>□高 □中 □低 —— 低则优先建设家校关系</t>
        </is>
      </c>
      <c r="C31" s="28" t="inlineStr">
        <is>
          <t>□正常/□异常</t>
        </is>
      </c>
      <c r="D31" s="11" t="inlineStr">
        <is>
          <t>异常说明/风险标记</t>
        </is>
      </c>
    </row>
    <row r="32">
      <c r="A32" s="4" t="inlineStr">
        <is>
          <t>共育目标对齐</t>
        </is>
      </c>
      <c r="B32" s="27" t="inlineStr">
        <is>
          <t>□一致 □分歧(学科/习惯侧重不同)</t>
        </is>
      </c>
      <c r="C32" s="28" t="inlineStr">
        <is>
          <t>□正常/□异常</t>
        </is>
      </c>
      <c r="D32" s="11" t="inlineStr">
        <is>
          <t>异常说明/风险标记</t>
        </is>
      </c>
    </row>
  </sheetData>
  <mergeCells count="8">
    <mergeCell ref="A1:D1"/>
    <mergeCell ref="A5:D5"/>
    <mergeCell ref="A18:D18"/>
    <mergeCell ref="A12:D12"/>
    <mergeCell ref="A3:D3"/>
    <mergeCell ref="A29:D29"/>
    <mergeCell ref="A24:D24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12" customWidth="1" min="4" max="4"/>
    <col width="30" customWidth="1" min="5" max="5"/>
  </cols>
  <sheetData>
    <row r="1" ht="30" customHeight="1">
      <c r="A1" s="1" t="inlineStr">
        <is>
          <t>09　结果判读与下一步路由总表</t>
        </is>
      </c>
    </row>
    <row r="2" ht="20" customHeight="1">
      <c r="A2" s="2" t="inlineStr">
        <is>
          <t>汇总各量表判读标准与风险等级，给出进入「问题归因」后应调用工具，形成闭环</t>
        </is>
      </c>
    </row>
    <row r="3" ht="18" customHeight="1">
      <c r="A3" s="3" t="inlineStr">
        <is>
          <t>适用学段：全学段　｜　量表来源/依据：对接工具库(F→A→S→C→H)；校合精华版</t>
        </is>
      </c>
    </row>
    <row r="5" ht="22" customHeight="1">
      <c r="A5" s="8" t="inlineStr">
        <is>
          <t>来源量表</t>
        </is>
      </c>
      <c r="B5" s="8" t="inlineStr">
        <is>
          <t>关键指标</t>
        </is>
      </c>
      <c r="C5" s="8" t="inlineStr">
        <is>
          <t>判读标准（阈值）</t>
        </is>
      </c>
      <c r="D5" s="8" t="inlineStr">
        <is>
          <t>风险等级</t>
        </is>
      </c>
      <c r="E5" s="8" t="inlineStr">
        <is>
          <t>下一步建议调用工具</t>
        </is>
      </c>
    </row>
    <row r="6" ht="40" customHeight="1">
      <c r="A6" s="5" t="inlineStr">
        <is>
          <t>SNAP-IV(F-04)</t>
        </is>
      </c>
      <c r="B6" s="5" t="inlineStr">
        <is>
          <t>注意缺陷/多动阳性项≥6</t>
        </is>
      </c>
      <c r="C6" s="5" t="inlineStr">
        <is>
          <t>任一组(师/家)≥6项≥2分 → 提示ADHD样表现</t>
        </is>
      </c>
      <c r="D6" s="29" t="inlineStr">
        <is>
          <t>高</t>
        </is>
      </c>
      <c r="E6" s="5" t="inlineStr">
        <is>
          <t>A-04认知剖面→S-05认知训练→C-07课堂配合；建议转介专业评估</t>
        </is>
      </c>
    </row>
    <row r="7" ht="40" customHeight="1">
      <c r="A7" s="5" t="inlineStr">
        <is>
          <t>学习策略(F-09)</t>
        </is>
      </c>
      <c r="B7" s="5" t="inlineStr">
        <is>
          <t>总均分 / 子维度</t>
        </is>
      </c>
      <c r="C7" s="5" t="inlineStr">
        <is>
          <t>≥3.6良好；2.6-3.5中等；≤2.5薄弱</t>
        </is>
      </c>
      <c r="D7" s="30" t="inlineStr">
        <is>
          <t>中-高</t>
        </is>
      </c>
      <c r="E7" s="5" t="inlineStr">
        <is>
          <t>A-05学业差距→S-08学科策略→C-01辅导落地</t>
        </is>
      </c>
    </row>
    <row r="8" ht="40" customHeight="1">
      <c r="A8" s="5" t="inlineStr">
        <is>
          <t>学习动机(F-08)</t>
        </is>
      </c>
      <c r="B8" s="5" t="inlineStr">
        <is>
          <t>内在+认同 vs 无动机</t>
        </is>
      </c>
      <c r="C8" s="5" t="inlineStr">
        <is>
          <t>无动机≥4或外在&gt;内在 → 动机风险</t>
        </is>
      </c>
      <c r="D8" s="26" t="inlineStr">
        <is>
          <t>中</t>
        </is>
      </c>
      <c r="E8" s="5" t="inlineStr">
        <is>
          <t>A-06 HERO希望感→S-06活动包→H-03关系反馈</t>
        </is>
      </c>
    </row>
    <row r="9" ht="40" customHeight="1">
      <c r="A9" s="5" t="inlineStr">
        <is>
          <t>学业情绪(F-11)</t>
        </is>
      </c>
      <c r="B9" s="5" t="inlineStr">
        <is>
          <t>消极情绪均分</t>
        </is>
      </c>
      <c r="C9" s="5" t="inlineStr">
        <is>
          <t>消极≥3.0 或 积极≤2.5 → 情绪性困难</t>
        </is>
      </c>
      <c r="D9" s="30" t="inlineStr">
        <is>
          <t>中-高</t>
        </is>
      </c>
      <c r="E9" s="5" t="inlineStr">
        <is>
          <t>A-06焦虑/无聊→S-11团体辅导→C-05家长指导</t>
        </is>
      </c>
    </row>
    <row r="10" ht="40" customHeight="1">
      <c r="A10" s="5" t="inlineStr">
        <is>
          <t>依恋(F-10)</t>
        </is>
      </c>
      <c r="B10" s="5" t="inlineStr">
        <is>
          <t>风险项反向均分</t>
        </is>
      </c>
      <c r="C10" s="5" t="inlineStr">
        <is>
          <t>风险≥3.5 → 回避/矛盾/紊乱倾向</t>
        </is>
      </c>
      <c r="D10" s="30" t="inlineStr">
        <is>
          <t>中-高</t>
        </is>
      </c>
      <c r="E10" s="5" t="inlineStr">
        <is>
          <t>A-07依恋类型→S-07依恋修复→C-03家校沟通</t>
        </is>
      </c>
    </row>
    <row r="11" ht="40" customHeight="1">
      <c r="A11" s="5" t="inlineStr">
        <is>
          <t>课堂观察(F-02)</t>
        </is>
      </c>
      <c r="B11" s="5" t="inlineStr">
        <is>
          <t>总均分 / 单维≤2</t>
        </is>
      </c>
      <c r="C11" s="5" t="inlineStr">
        <is>
          <t>总&lt;3需关注；任维≤2重点干预</t>
        </is>
      </c>
      <c r="D11" s="26" t="inlineStr">
        <is>
          <t>中</t>
        </is>
      </c>
      <c r="E11" s="5" t="inlineStr">
        <is>
          <t>A-07师生关系→S-03学校方案→H-01习惯养成</t>
        </is>
      </c>
    </row>
    <row r="12" ht="40" customHeight="1">
      <c r="A12" s="5" t="inlineStr">
        <is>
          <t>成绩趋势(F-03)</t>
        </is>
      </c>
      <c r="B12" s="5" t="inlineStr">
        <is>
          <t>距均值/连续下滑</t>
        </is>
      </c>
      <c r="C12" s="5" t="inlineStr">
        <is>
          <t>低于均值≥10或连续下滑 → 薄弱预警</t>
        </is>
      </c>
      <c r="D12" s="30" t="inlineStr">
        <is>
          <t>中-高</t>
        </is>
      </c>
      <c r="E12" s="5" t="inlineStr">
        <is>
          <t>A-05学业差距→S-08学科策略→C-01辅导</t>
        </is>
      </c>
    </row>
    <row r="13" ht="40" customHeight="1">
      <c r="A13" s="5" t="inlineStr">
        <is>
          <t>基础信息(F-01)</t>
        </is>
      </c>
      <c r="B13" s="5" t="inlineStr">
        <is>
          <t>风险信号数量</t>
        </is>
      </c>
      <c r="C13" s="5" t="inlineStr">
        <is>
          <t>≥2项异常 → 需系统归因</t>
        </is>
      </c>
      <c r="D13" s="26" t="inlineStr">
        <is>
          <t>中</t>
        </is>
      </c>
      <c r="E13" s="5" t="inlineStr">
        <is>
          <t>A-01归因矩阵(认知/学业/心理/关系)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8" customWidth="1" min="4" max="4"/>
    <col width="40" customWidth="1" min="5" max="5"/>
    <col width="22" customWidth="1" min="6" max="6"/>
    <col width="8" customWidth="1" min="7" max="7"/>
    <col width="22" customWidth="1" min="8" max="8"/>
    <col width="14" customWidth="1" min="9" max="9"/>
  </cols>
  <sheetData>
    <row r="1" ht="30" customHeight="1">
      <c r="A1" s="1" t="inlineStr">
        <is>
          <t>10　全量题项库（智能体可检索数据库）</t>
        </is>
      </c>
    </row>
    <row r="2" ht="20" customHeight="1">
      <c r="A2" s="2" t="inlineStr">
        <is>
          <t>汇总所有量表题项与元数据，便于智能体按学段/子维度/触发条件路由调用</t>
        </is>
      </c>
    </row>
    <row r="3" ht="18" customHeight="1">
      <c r="A3" s="3" t="inlineStr">
        <is>
          <t>适用学段：全学段　｜　量表来源/依据：对接工具库与五步流程；校合精华版</t>
        </is>
      </c>
    </row>
    <row r="5" ht="20" customHeight="1">
      <c r="A5" s="8" t="inlineStr">
        <is>
          <t>量表ID</t>
        </is>
      </c>
      <c r="B5" s="8" t="inlineStr">
        <is>
          <t>量表名称</t>
        </is>
      </c>
      <c r="C5" s="8" t="inlineStr">
        <is>
          <t>子维度</t>
        </is>
      </c>
      <c r="D5" s="8" t="inlineStr">
        <is>
          <t>题号</t>
        </is>
      </c>
      <c r="E5" s="8" t="inlineStr">
        <is>
          <t>题项内容</t>
        </is>
      </c>
      <c r="F5" s="8" t="inlineStr">
        <is>
          <t>评分锚点</t>
        </is>
      </c>
      <c r="G5" s="8" t="inlineStr">
        <is>
          <t>反向</t>
        </is>
      </c>
      <c r="H5" s="8" t="inlineStr">
        <is>
          <t>适用学段</t>
        </is>
      </c>
      <c r="I5" s="8" t="inlineStr">
        <is>
          <t>关联工具</t>
        </is>
      </c>
    </row>
    <row r="6">
      <c r="A6" s="5" t="inlineStr">
        <is>
          <t>F-04</t>
        </is>
      </c>
      <c r="B6" s="5" t="inlineStr">
        <is>
          <t>01 SNAP-IV注意力筛查</t>
        </is>
      </c>
      <c r="C6" s="5" t="inlineStr">
        <is>
          <t>注意缺陷</t>
        </is>
      </c>
      <c r="D6" s="5" t="n">
        <v>1</v>
      </c>
      <c r="E6" s="5" t="inlineStr">
        <is>
          <t>很难持续专注于功课或需要动脑的任务</t>
        </is>
      </c>
      <c r="F6" s="5" t="inlineStr">
        <is>
          <t>0-3(完全没有~几乎每天)</t>
        </is>
      </c>
      <c r="G6" s="5" t="inlineStr">
        <is>
          <t>否</t>
        </is>
      </c>
      <c r="H6" s="5" t="inlineStr">
        <is>
          <t>1-2·3-4为主</t>
        </is>
      </c>
      <c r="I6" s="5" t="inlineStr">
        <is>
          <t>→A/F-04</t>
        </is>
      </c>
    </row>
    <row r="7">
      <c r="A7" s="5" t="inlineStr">
        <is>
          <t>F-04</t>
        </is>
      </c>
      <c r="B7" s="5" t="inlineStr">
        <is>
          <t>01 SNAP-IV注意力筛查</t>
        </is>
      </c>
      <c r="C7" s="5" t="inlineStr">
        <is>
          <t>注意缺陷</t>
        </is>
      </c>
      <c r="D7" s="5" t="n">
        <v>2</v>
      </c>
      <c r="E7" s="5" t="inlineStr">
        <is>
          <t>别人对他说话时，似乎没在听</t>
        </is>
      </c>
      <c r="F7" s="5" t="inlineStr">
        <is>
          <t>0-3(完全没有~几乎每天)</t>
        </is>
      </c>
      <c r="G7" s="5" t="inlineStr">
        <is>
          <t>否</t>
        </is>
      </c>
      <c r="H7" s="5" t="inlineStr">
        <is>
          <t>1-2·3-4为主</t>
        </is>
      </c>
      <c r="I7" s="5" t="inlineStr">
        <is>
          <t>→A/F-04</t>
        </is>
      </c>
    </row>
    <row r="8">
      <c r="A8" s="5" t="inlineStr">
        <is>
          <t>F-04</t>
        </is>
      </c>
      <c r="B8" s="5" t="inlineStr">
        <is>
          <t>01 SNAP-IV注意力筛查</t>
        </is>
      </c>
      <c r="C8" s="5" t="inlineStr">
        <is>
          <t>注意缺陷</t>
        </is>
      </c>
      <c r="D8" s="5" t="n">
        <v>3</v>
      </c>
      <c r="E8" s="5" t="inlineStr">
        <is>
          <t>不按指示把事情做完（非对抗行为）</t>
        </is>
      </c>
      <c r="F8" s="5" t="inlineStr">
        <is>
          <t>0-3(完全没有~几乎每天)</t>
        </is>
      </c>
      <c r="G8" s="5" t="inlineStr">
        <is>
          <t>否</t>
        </is>
      </c>
      <c r="H8" s="5" t="inlineStr">
        <is>
          <t>1-2·3-4为主</t>
        </is>
      </c>
      <c r="I8" s="5" t="inlineStr">
        <is>
          <t>→A/F-04</t>
        </is>
      </c>
    </row>
    <row r="9">
      <c r="A9" s="5" t="inlineStr">
        <is>
          <t>F-04</t>
        </is>
      </c>
      <c r="B9" s="5" t="inlineStr">
        <is>
          <t>01 SNAP-IV注意力筛查</t>
        </is>
      </c>
      <c r="C9" s="5" t="inlineStr">
        <is>
          <t>注意缺陷</t>
        </is>
      </c>
      <c r="D9" s="5" t="n">
        <v>4</v>
      </c>
      <c r="E9" s="5" t="inlineStr">
        <is>
          <t>难以有条理地完成功课或活动</t>
        </is>
      </c>
      <c r="F9" s="5" t="inlineStr">
        <is>
          <t>0-3(完全没有~几乎每天)</t>
        </is>
      </c>
      <c r="G9" s="5" t="inlineStr">
        <is>
          <t>否</t>
        </is>
      </c>
      <c r="H9" s="5" t="inlineStr">
        <is>
          <t>1-2·3-4为主</t>
        </is>
      </c>
      <c r="I9" s="5" t="inlineStr">
        <is>
          <t>→A/F-04</t>
        </is>
      </c>
    </row>
    <row r="10">
      <c r="A10" s="5" t="inlineStr">
        <is>
          <t>F-04</t>
        </is>
      </c>
      <c r="B10" s="5" t="inlineStr">
        <is>
          <t>01 SNAP-IV注意力筛查</t>
        </is>
      </c>
      <c r="C10" s="5" t="inlineStr">
        <is>
          <t>注意缺陷</t>
        </is>
      </c>
      <c r="D10" s="5" t="n">
        <v>5</v>
      </c>
      <c r="E10" s="5" t="inlineStr">
        <is>
          <t>回避、不喜欢或勉强做需持续动脑的任务</t>
        </is>
      </c>
      <c r="F10" s="5" t="inlineStr">
        <is>
          <t>0-3(完全没有~几乎每天)</t>
        </is>
      </c>
      <c r="G10" s="5" t="inlineStr">
        <is>
          <t>否</t>
        </is>
      </c>
      <c r="H10" s="5" t="inlineStr">
        <is>
          <t>1-2·3-4为主</t>
        </is>
      </c>
      <c r="I10" s="5" t="inlineStr">
        <is>
          <t>→A/F-04</t>
        </is>
      </c>
    </row>
    <row r="11">
      <c r="A11" s="5" t="inlineStr">
        <is>
          <t>F-04</t>
        </is>
      </c>
      <c r="B11" s="5" t="inlineStr">
        <is>
          <t>01 SNAP-IV注意力筛查</t>
        </is>
      </c>
      <c r="C11" s="5" t="inlineStr">
        <is>
          <t>注意缺陷</t>
        </is>
      </c>
      <c r="D11" s="5" t="n">
        <v>6</v>
      </c>
      <c r="E11" s="5" t="inlineStr">
        <is>
          <t>遗失学习或活动所需的物品</t>
        </is>
      </c>
      <c r="F11" s="5" t="inlineStr">
        <is>
          <t>0-3(完全没有~几乎每天)</t>
        </is>
      </c>
      <c r="G11" s="5" t="inlineStr">
        <is>
          <t>否</t>
        </is>
      </c>
      <c r="H11" s="5" t="inlineStr">
        <is>
          <t>1-2·3-4为主</t>
        </is>
      </c>
      <c r="I11" s="5" t="inlineStr">
        <is>
          <t>→A/F-04</t>
        </is>
      </c>
    </row>
    <row r="12">
      <c r="A12" s="5" t="inlineStr">
        <is>
          <t>F-04</t>
        </is>
      </c>
      <c r="B12" s="5" t="inlineStr">
        <is>
          <t>01 SNAP-IV注意力筛查</t>
        </is>
      </c>
      <c r="C12" s="5" t="inlineStr">
        <is>
          <t>注意缺陷</t>
        </is>
      </c>
      <c r="D12" s="5" t="n">
        <v>7</v>
      </c>
      <c r="E12" s="5" t="inlineStr">
        <is>
          <t>容易被无关刺激分散注意力</t>
        </is>
      </c>
      <c r="F12" s="5" t="inlineStr">
        <is>
          <t>0-3(完全没有~几乎每天)</t>
        </is>
      </c>
      <c r="G12" s="5" t="inlineStr">
        <is>
          <t>否</t>
        </is>
      </c>
      <c r="H12" s="5" t="inlineStr">
        <is>
          <t>1-2·3-4为主</t>
        </is>
      </c>
      <c r="I12" s="5" t="inlineStr">
        <is>
          <t>→A/F-04</t>
        </is>
      </c>
    </row>
    <row r="13">
      <c r="A13" s="5" t="inlineStr">
        <is>
          <t>F-04</t>
        </is>
      </c>
      <c r="B13" s="5" t="inlineStr">
        <is>
          <t>01 SNAP-IV注意力筛查</t>
        </is>
      </c>
      <c r="C13" s="5" t="inlineStr">
        <is>
          <t>注意缺陷</t>
        </is>
      </c>
      <c r="D13" s="5" t="n">
        <v>8</v>
      </c>
      <c r="E13" s="5" t="inlineStr">
        <is>
          <t>日常生活中显得健忘</t>
        </is>
      </c>
      <c r="F13" s="5" t="inlineStr">
        <is>
          <t>0-3(完全没有~几乎每天)</t>
        </is>
      </c>
      <c r="G13" s="5" t="inlineStr">
        <is>
          <t>否</t>
        </is>
      </c>
      <c r="H13" s="5" t="inlineStr">
        <is>
          <t>1-2·3-4为主</t>
        </is>
      </c>
      <c r="I13" s="5" t="inlineStr">
        <is>
          <t>→A/F-04</t>
        </is>
      </c>
    </row>
    <row r="14">
      <c r="A14" s="5" t="inlineStr">
        <is>
          <t>F-04</t>
        </is>
      </c>
      <c r="B14" s="5" t="inlineStr">
        <is>
          <t>01 SNAP-IV注意力筛查</t>
        </is>
      </c>
      <c r="C14" s="5" t="inlineStr">
        <is>
          <t>注意缺陷</t>
        </is>
      </c>
      <c r="D14" s="5" t="n">
        <v>9</v>
      </c>
      <c r="E14" s="5" t="inlineStr">
        <is>
          <t>在细节上粗心，难以维持注意力</t>
        </is>
      </c>
      <c r="F14" s="5" t="inlineStr">
        <is>
          <t>0-3(完全没有~几乎每天)</t>
        </is>
      </c>
      <c r="G14" s="5" t="inlineStr">
        <is>
          <t>否</t>
        </is>
      </c>
      <c r="H14" s="5" t="inlineStr">
        <is>
          <t>1-2·3-4为主</t>
        </is>
      </c>
      <c r="I14" s="5" t="inlineStr">
        <is>
          <t>→A/F-04</t>
        </is>
      </c>
    </row>
    <row r="15">
      <c r="A15" s="5" t="inlineStr">
        <is>
          <t>F-04</t>
        </is>
      </c>
      <c r="B15" s="5" t="inlineStr">
        <is>
          <t>01 SNAP-IV注意力筛查</t>
        </is>
      </c>
      <c r="C15" s="5" t="inlineStr">
        <is>
          <t>多动-冲动</t>
        </is>
      </c>
      <c r="D15" s="5" t="n">
        <v>10</v>
      </c>
      <c r="E15" s="5" t="inlineStr">
        <is>
          <t>坐着手脚动个不停或在座位上扭动</t>
        </is>
      </c>
      <c r="F15" s="5" t="inlineStr">
        <is>
          <t>0-3(完全没有~几乎每天)</t>
        </is>
      </c>
      <c r="G15" s="5" t="inlineStr">
        <is>
          <t>否</t>
        </is>
      </c>
      <c r="H15" s="5" t="inlineStr">
        <is>
          <t>1-2·3-4为主</t>
        </is>
      </c>
      <c r="I15" s="5" t="inlineStr">
        <is>
          <t>→A/F-04</t>
        </is>
      </c>
    </row>
    <row r="16">
      <c r="A16" s="5" t="inlineStr">
        <is>
          <t>F-04</t>
        </is>
      </c>
      <c r="B16" s="5" t="inlineStr">
        <is>
          <t>01 SNAP-IV注意力筛查</t>
        </is>
      </c>
      <c r="C16" s="5" t="inlineStr">
        <is>
          <t>多动-冲动</t>
        </is>
      </c>
      <c r="D16" s="5" t="n">
        <v>11</v>
      </c>
      <c r="E16" s="5" t="inlineStr">
        <is>
          <t>在需要坐好的场合（教室）离开座位</t>
        </is>
      </c>
      <c r="F16" s="5" t="inlineStr">
        <is>
          <t>0-3(完全没有~几乎每天)</t>
        </is>
      </c>
      <c r="G16" s="5" t="inlineStr">
        <is>
          <t>否</t>
        </is>
      </c>
      <c r="H16" s="5" t="inlineStr">
        <is>
          <t>1-2·3-4为主</t>
        </is>
      </c>
      <c r="I16" s="5" t="inlineStr">
        <is>
          <t>→A/F-04</t>
        </is>
      </c>
    </row>
    <row r="17">
      <c r="A17" s="5" t="inlineStr">
        <is>
          <t>F-04</t>
        </is>
      </c>
      <c r="B17" s="5" t="inlineStr">
        <is>
          <t>01 SNAP-IV注意力筛查</t>
        </is>
      </c>
      <c r="C17" s="5" t="inlineStr">
        <is>
          <t>多动-冲动</t>
        </is>
      </c>
      <c r="D17" s="5" t="n">
        <v>12</v>
      </c>
      <c r="E17" s="5" t="inlineStr">
        <is>
          <t>在不合适的场合跑来跑去或爬上爬下</t>
        </is>
      </c>
      <c r="F17" s="5" t="inlineStr">
        <is>
          <t>0-3(完全没有~几乎每天)</t>
        </is>
      </c>
      <c r="G17" s="5" t="inlineStr">
        <is>
          <t>否</t>
        </is>
      </c>
      <c r="H17" s="5" t="inlineStr">
        <is>
          <t>1-2·3-4为主</t>
        </is>
      </c>
      <c r="I17" s="5" t="inlineStr">
        <is>
          <t>→A/F-04</t>
        </is>
      </c>
    </row>
    <row r="18">
      <c r="A18" s="5" t="inlineStr">
        <is>
          <t>F-04</t>
        </is>
      </c>
      <c r="B18" s="5" t="inlineStr">
        <is>
          <t>01 SNAP-IV注意力筛查</t>
        </is>
      </c>
      <c r="C18" s="5" t="inlineStr">
        <is>
          <t>多动-冲动</t>
        </is>
      </c>
      <c r="D18" s="5" t="n">
        <v>13</v>
      </c>
      <c r="E18" s="5" t="inlineStr">
        <is>
          <t>难以安静地玩耍或参加休闲活动</t>
        </is>
      </c>
      <c r="F18" s="5" t="inlineStr">
        <is>
          <t>0-3(完全没有~几乎每天)</t>
        </is>
      </c>
      <c r="G18" s="5" t="inlineStr">
        <is>
          <t>否</t>
        </is>
      </c>
      <c r="H18" s="5" t="inlineStr">
        <is>
          <t>1-2·3-4为主</t>
        </is>
      </c>
      <c r="I18" s="5" t="inlineStr">
        <is>
          <t>→A/F-04</t>
        </is>
      </c>
    </row>
    <row r="19">
      <c r="A19" s="5" t="inlineStr">
        <is>
          <t>F-04</t>
        </is>
      </c>
      <c r="B19" s="5" t="inlineStr">
        <is>
          <t>01 SNAP-IV注意力筛查</t>
        </is>
      </c>
      <c r="C19" s="5" t="inlineStr">
        <is>
          <t>多动-冲动</t>
        </is>
      </c>
      <c r="D19" s="5" t="n">
        <v>14</v>
      </c>
      <c r="E19" s="5" t="inlineStr">
        <is>
          <t>像被“马达驱动”一样停不下来</t>
        </is>
      </c>
      <c r="F19" s="5" t="inlineStr">
        <is>
          <t>0-3(完全没有~几乎每天)</t>
        </is>
      </c>
      <c r="G19" s="5" t="inlineStr">
        <is>
          <t>否</t>
        </is>
      </c>
      <c r="H19" s="5" t="inlineStr">
        <is>
          <t>1-2·3-4为主</t>
        </is>
      </c>
      <c r="I19" s="5" t="inlineStr">
        <is>
          <t>→A/F-04</t>
        </is>
      </c>
    </row>
    <row r="20">
      <c r="A20" s="5" t="inlineStr">
        <is>
          <t>F-04</t>
        </is>
      </c>
      <c r="B20" s="5" t="inlineStr">
        <is>
          <t>01 SNAP-IV注意力筛查</t>
        </is>
      </c>
      <c r="C20" s="5" t="inlineStr">
        <is>
          <t>多动-冲动</t>
        </is>
      </c>
      <c r="D20" s="5" t="n">
        <v>15</v>
      </c>
      <c r="E20" s="5" t="inlineStr">
        <is>
          <t>说话过多</t>
        </is>
      </c>
      <c r="F20" s="5" t="inlineStr">
        <is>
          <t>0-3(完全没有~几乎每天)</t>
        </is>
      </c>
      <c r="G20" s="5" t="inlineStr">
        <is>
          <t>否</t>
        </is>
      </c>
      <c r="H20" s="5" t="inlineStr">
        <is>
          <t>1-2·3-4为主</t>
        </is>
      </c>
      <c r="I20" s="5" t="inlineStr">
        <is>
          <t>→A/F-04</t>
        </is>
      </c>
    </row>
    <row r="21">
      <c r="A21" s="5" t="inlineStr">
        <is>
          <t>F-04</t>
        </is>
      </c>
      <c r="B21" s="5" t="inlineStr">
        <is>
          <t>01 SNAP-IV注意力筛查</t>
        </is>
      </c>
      <c r="C21" s="5" t="inlineStr">
        <is>
          <t>多动-冲动</t>
        </is>
      </c>
      <c r="D21" s="5" t="n">
        <v>16</v>
      </c>
      <c r="E21" s="5" t="inlineStr">
        <is>
          <t>问题尚未问完就抢着回答</t>
        </is>
      </c>
      <c r="F21" s="5" t="inlineStr">
        <is>
          <t>0-3(完全没有~几乎每天)</t>
        </is>
      </c>
      <c r="G21" s="5" t="inlineStr">
        <is>
          <t>否</t>
        </is>
      </c>
      <c r="H21" s="5" t="inlineStr">
        <is>
          <t>1-2·3-4为主</t>
        </is>
      </c>
      <c r="I21" s="5" t="inlineStr">
        <is>
          <t>→A/F-04</t>
        </is>
      </c>
    </row>
    <row r="22">
      <c r="A22" s="5" t="inlineStr">
        <is>
          <t>F-04</t>
        </is>
      </c>
      <c r="B22" s="5" t="inlineStr">
        <is>
          <t>01 SNAP-IV注意力筛查</t>
        </is>
      </c>
      <c r="C22" s="5" t="inlineStr">
        <is>
          <t>多动-冲动</t>
        </is>
      </c>
      <c r="D22" s="5" t="n">
        <v>17</v>
      </c>
      <c r="E22" s="5" t="inlineStr">
        <is>
          <t>难以按顺序等待（如排队）</t>
        </is>
      </c>
      <c r="F22" s="5" t="inlineStr">
        <is>
          <t>0-3(完全没有~几乎每天)</t>
        </is>
      </c>
      <c r="G22" s="5" t="inlineStr">
        <is>
          <t>否</t>
        </is>
      </c>
      <c r="H22" s="5" t="inlineStr">
        <is>
          <t>1-2·3-4为主</t>
        </is>
      </c>
      <c r="I22" s="5" t="inlineStr">
        <is>
          <t>→A/F-04</t>
        </is>
      </c>
    </row>
    <row r="23">
      <c r="A23" s="5" t="inlineStr">
        <is>
          <t>F-04</t>
        </is>
      </c>
      <c r="B23" s="5" t="inlineStr">
        <is>
          <t>01 SNAP-IV注意力筛查</t>
        </is>
      </c>
      <c r="C23" s="5" t="inlineStr">
        <is>
          <t>多动-冲动</t>
        </is>
      </c>
      <c r="D23" s="5" t="n">
        <v>18</v>
      </c>
      <c r="E23" s="5" t="inlineStr">
        <is>
          <t>打断或侵扰别人（插嘴、打扰游戏）</t>
        </is>
      </c>
      <c r="F23" s="5" t="inlineStr">
        <is>
          <t>0-3(完全没有~几乎每天)</t>
        </is>
      </c>
      <c r="G23" s="5" t="inlineStr">
        <is>
          <t>否</t>
        </is>
      </c>
      <c r="H23" s="5" t="inlineStr">
        <is>
          <t>1-2·3-4为主</t>
        </is>
      </c>
      <c r="I23" s="5" t="inlineStr">
        <is>
          <t>→A/F-04</t>
        </is>
      </c>
    </row>
    <row r="24">
      <c r="A24" s="5" t="inlineStr">
        <is>
          <t>F-09</t>
        </is>
      </c>
      <c r="B24" s="5" t="inlineStr">
        <is>
          <t>02 学习策略量表</t>
        </is>
      </c>
      <c r="C24" s="5" t="inlineStr">
        <is>
          <t>认知-复述精细加工</t>
        </is>
      </c>
      <c r="D24" s="5" t="n">
        <v>1</v>
      </c>
      <c r="E24" s="5" t="inlineStr">
        <is>
          <t>我会通过反复朗读或抄写帮助记忆</t>
        </is>
      </c>
      <c r="F24" s="5" t="inlineStr">
        <is>
          <t>1-5(从不~总是)</t>
        </is>
      </c>
      <c r="G24" s="5" t="inlineStr">
        <is>
          <t>否</t>
        </is>
      </c>
      <c r="H24" s="5" t="inlineStr">
        <is>
          <t>3-4·5-6为主</t>
        </is>
      </c>
      <c r="I24" s="5" t="inlineStr">
        <is>
          <t>→A/F-09</t>
        </is>
      </c>
    </row>
    <row r="25">
      <c r="A25" s="5" t="inlineStr">
        <is>
          <t>F-09</t>
        </is>
      </c>
      <c r="B25" s="5" t="inlineStr">
        <is>
          <t>02 学习策略量表</t>
        </is>
      </c>
      <c r="C25" s="5" t="inlineStr">
        <is>
          <t>认知-复述精细加工</t>
        </is>
      </c>
      <c r="D25" s="5" t="n">
        <v>2</v>
      </c>
      <c r="E25" s="5" t="inlineStr">
        <is>
          <t>我会用自己的话解释难点</t>
        </is>
      </c>
      <c r="F25" s="5" t="inlineStr">
        <is>
          <t>1-5(从不~总是)</t>
        </is>
      </c>
      <c r="G25" s="5" t="inlineStr">
        <is>
          <t>否</t>
        </is>
      </c>
      <c r="H25" s="5" t="inlineStr">
        <is>
          <t>3-4·5-6为主</t>
        </is>
      </c>
      <c r="I25" s="5" t="inlineStr">
        <is>
          <t>→A/F-09</t>
        </is>
      </c>
    </row>
    <row r="26">
      <c r="A26" s="5" t="inlineStr">
        <is>
          <t>F-09</t>
        </is>
      </c>
      <c r="B26" s="5" t="inlineStr">
        <is>
          <t>02 学习策略量表</t>
        </is>
      </c>
      <c r="C26" s="5" t="inlineStr">
        <is>
          <t>认知-复述精细加工</t>
        </is>
      </c>
      <c r="D26" s="5" t="n">
        <v>3</v>
      </c>
      <c r="E26" s="5" t="inlineStr">
        <is>
          <t>我会把新知识和旧知识联系起来</t>
        </is>
      </c>
      <c r="F26" s="5" t="inlineStr">
        <is>
          <t>1-5(从不~总是)</t>
        </is>
      </c>
      <c r="G26" s="5" t="inlineStr">
        <is>
          <t>否</t>
        </is>
      </c>
      <c r="H26" s="5" t="inlineStr">
        <is>
          <t>3-4·5-6为主</t>
        </is>
      </c>
      <c r="I26" s="5" t="inlineStr">
        <is>
          <t>→A/F-09</t>
        </is>
      </c>
    </row>
    <row r="27">
      <c r="A27" s="5" t="inlineStr">
        <is>
          <t>F-09</t>
        </is>
      </c>
      <c r="B27" s="5" t="inlineStr">
        <is>
          <t>02 学习策略量表</t>
        </is>
      </c>
      <c r="C27" s="5" t="inlineStr">
        <is>
          <t>认知-复述精细加工</t>
        </is>
      </c>
      <c r="D27" s="5" t="n">
        <v>4</v>
      </c>
      <c r="E27" s="5" t="inlineStr">
        <is>
          <t>我会举例子或打比方帮助理解</t>
        </is>
      </c>
      <c r="F27" s="5" t="inlineStr">
        <is>
          <t>1-5(从不~总是)</t>
        </is>
      </c>
      <c r="G27" s="5" t="inlineStr">
        <is>
          <t>否</t>
        </is>
      </c>
      <c r="H27" s="5" t="inlineStr">
        <is>
          <t>3-4·5-6为主</t>
        </is>
      </c>
      <c r="I27" s="5" t="inlineStr">
        <is>
          <t>→A/F-09</t>
        </is>
      </c>
    </row>
    <row r="28">
      <c r="A28" s="5" t="inlineStr">
        <is>
          <t>F-09</t>
        </is>
      </c>
      <c r="B28" s="5" t="inlineStr">
        <is>
          <t>02 学习策略量表</t>
        </is>
      </c>
      <c r="C28" s="5" t="inlineStr">
        <is>
          <t>认知-组织</t>
        </is>
      </c>
      <c r="D28" s="5" t="n">
        <v>5</v>
      </c>
      <c r="E28" s="5" t="inlineStr">
        <is>
          <t>我会用提纲或思维导图整理内容</t>
        </is>
      </c>
      <c r="F28" s="5" t="inlineStr">
        <is>
          <t>1-5(从不~总是)</t>
        </is>
      </c>
      <c r="G28" s="5" t="inlineStr">
        <is>
          <t>否</t>
        </is>
      </c>
      <c r="H28" s="5" t="inlineStr">
        <is>
          <t>3-4·5-6为主</t>
        </is>
      </c>
      <c r="I28" s="5" t="inlineStr">
        <is>
          <t>→A/F-09</t>
        </is>
      </c>
    </row>
    <row r="29">
      <c r="A29" s="5" t="inlineStr">
        <is>
          <t>F-09</t>
        </is>
      </c>
      <c r="B29" s="5" t="inlineStr">
        <is>
          <t>02 学习策略量表</t>
        </is>
      </c>
      <c r="C29" s="5" t="inlineStr">
        <is>
          <t>认知-组织</t>
        </is>
      </c>
      <c r="D29" s="5" t="n">
        <v>6</v>
      </c>
      <c r="E29" s="5" t="inlineStr">
        <is>
          <t>我会把材料分成几个部分来理解</t>
        </is>
      </c>
      <c r="F29" s="5" t="inlineStr">
        <is>
          <t>1-5(从不~总是)</t>
        </is>
      </c>
      <c r="G29" s="5" t="inlineStr">
        <is>
          <t>否</t>
        </is>
      </c>
      <c r="H29" s="5" t="inlineStr">
        <is>
          <t>3-4·5-6为主</t>
        </is>
      </c>
      <c r="I29" s="5" t="inlineStr">
        <is>
          <t>→A/F-09</t>
        </is>
      </c>
    </row>
    <row r="30">
      <c r="A30" s="5" t="inlineStr">
        <is>
          <t>F-09</t>
        </is>
      </c>
      <c r="B30" s="5" t="inlineStr">
        <is>
          <t>02 学习策略量表</t>
        </is>
      </c>
      <c r="C30" s="5" t="inlineStr">
        <is>
          <t>认知-组织</t>
        </is>
      </c>
      <c r="D30" s="5" t="n">
        <v>7</v>
      </c>
      <c r="E30" s="5" t="inlineStr">
        <is>
          <t>我会抓住重点和关键词</t>
        </is>
      </c>
      <c r="F30" s="5" t="inlineStr">
        <is>
          <t>1-5(从不~总是)</t>
        </is>
      </c>
      <c r="G30" s="5" t="inlineStr">
        <is>
          <t>否</t>
        </is>
      </c>
      <c r="H30" s="5" t="inlineStr">
        <is>
          <t>3-4·5-6为主</t>
        </is>
      </c>
      <c r="I30" s="5" t="inlineStr">
        <is>
          <t>→A/F-09</t>
        </is>
      </c>
    </row>
    <row r="31">
      <c r="A31" s="5" t="inlineStr">
        <is>
          <t>F-09</t>
        </is>
      </c>
      <c r="B31" s="5" t="inlineStr">
        <is>
          <t>02 学习策略量表</t>
        </is>
      </c>
      <c r="C31" s="5" t="inlineStr">
        <is>
          <t>认知-组织</t>
        </is>
      </c>
      <c r="D31" s="5" t="n">
        <v>8</v>
      </c>
      <c r="E31" s="5" t="inlineStr">
        <is>
          <t>我会比较不同内容的异同</t>
        </is>
      </c>
      <c r="F31" s="5" t="inlineStr">
        <is>
          <t>1-5(从不~总是)</t>
        </is>
      </c>
      <c r="G31" s="5" t="inlineStr">
        <is>
          <t>否</t>
        </is>
      </c>
      <c r="H31" s="5" t="inlineStr">
        <is>
          <t>3-4·5-6为主</t>
        </is>
      </c>
      <c r="I31" s="5" t="inlineStr">
        <is>
          <t>→A/F-09</t>
        </is>
      </c>
    </row>
    <row r="32">
      <c r="A32" s="5" t="inlineStr">
        <is>
          <t>F-09</t>
        </is>
      </c>
      <c r="B32" s="5" t="inlineStr">
        <is>
          <t>02 学习策略量表</t>
        </is>
      </c>
      <c r="C32" s="5" t="inlineStr">
        <is>
          <t>元认知-计划</t>
        </is>
      </c>
      <c r="D32" s="5" t="n">
        <v>9</v>
      </c>
      <c r="E32" s="5" t="inlineStr">
        <is>
          <t>学习前我会先想清楚目标和步骤</t>
        </is>
      </c>
      <c r="F32" s="5" t="inlineStr">
        <is>
          <t>1-5(从不~总是)</t>
        </is>
      </c>
      <c r="G32" s="5" t="inlineStr">
        <is>
          <t>否</t>
        </is>
      </c>
      <c r="H32" s="5" t="inlineStr">
        <is>
          <t>3-4·5-6为主</t>
        </is>
      </c>
      <c r="I32" s="5" t="inlineStr">
        <is>
          <t>→A/F-09</t>
        </is>
      </c>
    </row>
    <row r="33">
      <c r="A33" s="5" t="inlineStr">
        <is>
          <t>F-09</t>
        </is>
      </c>
      <c r="B33" s="5" t="inlineStr">
        <is>
          <t>02 学习策略量表</t>
        </is>
      </c>
      <c r="C33" s="5" t="inlineStr">
        <is>
          <t>元认知-计划</t>
        </is>
      </c>
      <c r="D33" s="5" t="n">
        <v>10</v>
      </c>
      <c r="E33" s="5" t="inlineStr">
        <is>
          <t>我会为任务安排时间</t>
        </is>
      </c>
      <c r="F33" s="5" t="inlineStr">
        <is>
          <t>1-5(从不~总是)</t>
        </is>
      </c>
      <c r="G33" s="5" t="inlineStr">
        <is>
          <t>否</t>
        </is>
      </c>
      <c r="H33" s="5" t="inlineStr">
        <is>
          <t>3-4·5-6为主</t>
        </is>
      </c>
      <c r="I33" s="5" t="inlineStr">
        <is>
          <t>→A/F-09</t>
        </is>
      </c>
    </row>
    <row r="34">
      <c r="A34" s="5" t="inlineStr">
        <is>
          <t>F-09</t>
        </is>
      </c>
      <c r="B34" s="5" t="inlineStr">
        <is>
          <t>02 学习策略量表</t>
        </is>
      </c>
      <c r="C34" s="5" t="inlineStr">
        <is>
          <t>元认知-计划</t>
        </is>
      </c>
      <c r="D34" s="5" t="n">
        <v>11</v>
      </c>
      <c r="E34" s="5" t="inlineStr">
        <is>
          <t>我会把大任务拆成小步骤</t>
        </is>
      </c>
      <c r="F34" s="5" t="inlineStr">
        <is>
          <t>1-5(从不~总是)</t>
        </is>
      </c>
      <c r="G34" s="5" t="inlineStr">
        <is>
          <t>否</t>
        </is>
      </c>
      <c r="H34" s="5" t="inlineStr">
        <is>
          <t>3-4·5-6为主</t>
        </is>
      </c>
      <c r="I34" s="5" t="inlineStr">
        <is>
          <t>→A/F-09</t>
        </is>
      </c>
    </row>
    <row r="35">
      <c r="A35" s="5" t="inlineStr">
        <is>
          <t>F-09</t>
        </is>
      </c>
      <c r="B35" s="5" t="inlineStr">
        <is>
          <t>02 学习策略量表</t>
        </is>
      </c>
      <c r="C35" s="5" t="inlineStr">
        <is>
          <t>元认知-计划</t>
        </is>
      </c>
      <c r="D35" s="5" t="n">
        <v>12</v>
      </c>
      <c r="E35" s="5" t="inlineStr">
        <is>
          <t>我会预估完成任务需要的时间</t>
        </is>
      </c>
      <c r="F35" s="5" t="inlineStr">
        <is>
          <t>1-5(从不~总是)</t>
        </is>
      </c>
      <c r="G35" s="5" t="inlineStr">
        <is>
          <t>否</t>
        </is>
      </c>
      <c r="H35" s="5" t="inlineStr">
        <is>
          <t>3-4·5-6为主</t>
        </is>
      </c>
      <c r="I35" s="5" t="inlineStr">
        <is>
          <t>→A/F-09</t>
        </is>
      </c>
    </row>
    <row r="36">
      <c r="A36" s="5" t="inlineStr">
        <is>
          <t>F-09</t>
        </is>
      </c>
      <c r="B36" s="5" t="inlineStr">
        <is>
          <t>02 学习策略量表</t>
        </is>
      </c>
      <c r="C36" s="5" t="inlineStr">
        <is>
          <t>元认知-监控</t>
        </is>
      </c>
      <c r="D36" s="5" t="n">
        <v>13</v>
      </c>
      <c r="E36" s="5" t="inlineStr">
        <is>
          <t>学习时我会检查自己是否走神</t>
        </is>
      </c>
      <c r="F36" s="5" t="inlineStr">
        <is>
          <t>1-5(从不~总是)</t>
        </is>
      </c>
      <c r="G36" s="5" t="inlineStr">
        <is>
          <t>否</t>
        </is>
      </c>
      <c r="H36" s="5" t="inlineStr">
        <is>
          <t>3-4·5-6为主</t>
        </is>
      </c>
      <c r="I36" s="5" t="inlineStr">
        <is>
          <t>→A/F-09</t>
        </is>
      </c>
    </row>
    <row r="37">
      <c r="A37" s="5" t="inlineStr">
        <is>
          <t>F-09</t>
        </is>
      </c>
      <c r="B37" s="5" t="inlineStr">
        <is>
          <t>02 学习策略量表</t>
        </is>
      </c>
      <c r="C37" s="5" t="inlineStr">
        <is>
          <t>元认知-监控</t>
        </is>
      </c>
      <c r="D37" s="5" t="n">
        <v>14</v>
      </c>
      <c r="E37" s="5" t="inlineStr">
        <is>
          <t>阅读时我会边读边问自己懂没懂</t>
        </is>
      </c>
      <c r="F37" s="5" t="inlineStr">
        <is>
          <t>1-5(从不~总是)</t>
        </is>
      </c>
      <c r="G37" s="5" t="inlineStr">
        <is>
          <t>否</t>
        </is>
      </c>
      <c r="H37" s="5" t="inlineStr">
        <is>
          <t>3-4·5-6为主</t>
        </is>
      </c>
      <c r="I37" s="5" t="inlineStr">
        <is>
          <t>→A/F-09</t>
        </is>
      </c>
    </row>
    <row r="38">
      <c r="A38" s="5" t="inlineStr">
        <is>
          <t>F-09</t>
        </is>
      </c>
      <c r="B38" s="5" t="inlineStr">
        <is>
          <t>02 学习策略量表</t>
        </is>
      </c>
      <c r="C38" s="5" t="inlineStr">
        <is>
          <t>元认知-监控</t>
        </is>
      </c>
      <c r="D38" s="5" t="n">
        <v>15</v>
      </c>
      <c r="E38" s="5" t="inlineStr">
        <is>
          <t>我会及时发现理解错误并回头重看</t>
        </is>
      </c>
      <c r="F38" s="5" t="inlineStr">
        <is>
          <t>1-5(从不~总是)</t>
        </is>
      </c>
      <c r="G38" s="5" t="inlineStr">
        <is>
          <t>否</t>
        </is>
      </c>
      <c r="H38" s="5" t="inlineStr">
        <is>
          <t>3-4·5-6为主</t>
        </is>
      </c>
      <c r="I38" s="5" t="inlineStr">
        <is>
          <t>→A/F-09</t>
        </is>
      </c>
    </row>
    <row r="39">
      <c r="A39" s="5" t="inlineStr">
        <is>
          <t>F-09</t>
        </is>
      </c>
      <c r="B39" s="5" t="inlineStr">
        <is>
          <t>02 学习策略量表</t>
        </is>
      </c>
      <c r="C39" s="5" t="inlineStr">
        <is>
          <t>元认知-监控</t>
        </is>
      </c>
      <c r="D39" s="5" t="n">
        <v>16</v>
      </c>
      <c r="E39" s="5" t="inlineStr">
        <is>
          <t>我会根据难度调整学习方法</t>
        </is>
      </c>
      <c r="F39" s="5" t="inlineStr">
        <is>
          <t>1-5(从不~总是)</t>
        </is>
      </c>
      <c r="G39" s="5" t="inlineStr">
        <is>
          <t>否</t>
        </is>
      </c>
      <c r="H39" s="5" t="inlineStr">
        <is>
          <t>3-4·5-6为主</t>
        </is>
      </c>
      <c r="I39" s="5" t="inlineStr">
        <is>
          <t>→A/F-09</t>
        </is>
      </c>
    </row>
    <row r="40">
      <c r="A40" s="5" t="inlineStr">
        <is>
          <t>F-09</t>
        </is>
      </c>
      <c r="B40" s="5" t="inlineStr">
        <is>
          <t>02 学习策略量表</t>
        </is>
      </c>
      <c r="C40" s="5" t="inlineStr">
        <is>
          <t>元认知-调节资源</t>
        </is>
      </c>
      <c r="D40" s="5" t="n">
        <v>17</v>
      </c>
      <c r="E40" s="5" t="inlineStr">
        <is>
          <t>学完我会自测是否真正掌握</t>
        </is>
      </c>
      <c r="F40" s="5" t="inlineStr">
        <is>
          <t>1-5(从不~总是)</t>
        </is>
      </c>
      <c r="G40" s="5" t="inlineStr">
        <is>
          <t>否</t>
        </is>
      </c>
      <c r="H40" s="5" t="inlineStr">
        <is>
          <t>3-4·5-6为主</t>
        </is>
      </c>
      <c r="I40" s="5" t="inlineStr">
        <is>
          <t>→A/F-09</t>
        </is>
      </c>
    </row>
    <row r="41">
      <c r="A41" s="5" t="inlineStr">
        <is>
          <t>F-09</t>
        </is>
      </c>
      <c r="B41" s="5" t="inlineStr">
        <is>
          <t>02 学习策略量表</t>
        </is>
      </c>
      <c r="C41" s="5" t="inlineStr">
        <is>
          <t>元认知-调节资源</t>
        </is>
      </c>
      <c r="D41" s="5" t="n">
        <v>18</v>
      </c>
      <c r="E41" s="5" t="inlineStr">
        <is>
          <t>遇到困难我会换一种方法再试</t>
        </is>
      </c>
      <c r="F41" s="5" t="inlineStr">
        <is>
          <t>1-5(从不~总是)</t>
        </is>
      </c>
      <c r="G41" s="5" t="inlineStr">
        <is>
          <t>否</t>
        </is>
      </c>
      <c r="H41" s="5" t="inlineStr">
        <is>
          <t>3-4·5-6为主</t>
        </is>
      </c>
      <c r="I41" s="5" t="inlineStr">
        <is>
          <t>→A/F-09</t>
        </is>
      </c>
    </row>
    <row r="42">
      <c r="A42" s="5" t="inlineStr">
        <is>
          <t>F-09</t>
        </is>
      </c>
      <c r="B42" s="5" t="inlineStr">
        <is>
          <t>02 学习策略量表</t>
        </is>
      </c>
      <c r="C42" s="5" t="inlineStr">
        <is>
          <t>元认知-调节资源</t>
        </is>
      </c>
      <c r="D42" s="5" t="n">
        <v>19</v>
      </c>
      <c r="E42" s="5" t="inlineStr">
        <is>
          <t>我会主动向老师或同学求助</t>
        </is>
      </c>
      <c r="F42" s="5" t="inlineStr">
        <is>
          <t>1-5(从不~总是)</t>
        </is>
      </c>
      <c r="G42" s="5" t="inlineStr">
        <is>
          <t>否</t>
        </is>
      </c>
      <c r="H42" s="5" t="inlineStr">
        <is>
          <t>3-4·5-6为主</t>
        </is>
      </c>
      <c r="I42" s="5" t="inlineStr">
        <is>
          <t>→A/F-09</t>
        </is>
      </c>
    </row>
    <row r="43">
      <c r="A43" s="5" t="inlineStr">
        <is>
          <t>F-09</t>
        </is>
      </c>
      <c r="B43" s="5" t="inlineStr">
        <is>
          <t>02 学习策略量表</t>
        </is>
      </c>
      <c r="C43" s="5" t="inlineStr">
        <is>
          <t>元认知-调节资源</t>
        </is>
      </c>
      <c r="D43" s="5" t="n">
        <v>20</v>
      </c>
      <c r="E43" s="5" t="inlineStr">
        <is>
          <t>我会用错题本或复习资料巩固</t>
        </is>
      </c>
      <c r="F43" s="5" t="inlineStr">
        <is>
          <t>1-5(从不~总是)</t>
        </is>
      </c>
      <c r="G43" s="5" t="inlineStr">
        <is>
          <t>否</t>
        </is>
      </c>
      <c r="H43" s="5" t="inlineStr">
        <is>
          <t>3-4·5-6为主</t>
        </is>
      </c>
      <c r="I43" s="5" t="inlineStr">
        <is>
          <t>→A/F-09</t>
        </is>
      </c>
    </row>
    <row r="44">
      <c r="A44" s="5" t="inlineStr">
        <is>
          <t>F-08</t>
        </is>
      </c>
      <c r="B44" s="5" t="inlineStr">
        <is>
          <t>03 学习动机量表</t>
        </is>
      </c>
      <c r="C44" s="5" t="inlineStr">
        <is>
          <t>内在动机</t>
        </is>
      </c>
      <c r="D44" s="5" t="n">
        <v>1</v>
      </c>
      <c r="E44" s="5" t="inlineStr">
        <is>
          <t>因为学习本身让我感到有趣</t>
        </is>
      </c>
      <c r="F44" s="5" t="inlineStr">
        <is>
          <t>1-7(不符合~符合)</t>
        </is>
      </c>
      <c r="G44" s="5" t="inlineStr">
        <is>
          <t>否</t>
        </is>
      </c>
      <c r="H44" s="5" t="inlineStr">
        <is>
          <t>5-6为主</t>
        </is>
      </c>
      <c r="I44" s="5" t="inlineStr">
        <is>
          <t>→A/F-08</t>
        </is>
      </c>
    </row>
    <row r="45">
      <c r="A45" s="5" t="inlineStr">
        <is>
          <t>F-08</t>
        </is>
      </c>
      <c r="B45" s="5" t="inlineStr">
        <is>
          <t>03 学习动机量表</t>
        </is>
      </c>
      <c r="C45" s="5" t="inlineStr">
        <is>
          <t>内在动机</t>
        </is>
      </c>
      <c r="D45" s="5" t="n">
        <v>2</v>
      </c>
      <c r="E45" s="5" t="inlineStr">
        <is>
          <t>因为我喜欢探索新东西</t>
        </is>
      </c>
      <c r="F45" s="5" t="inlineStr">
        <is>
          <t>1-7(不符合~符合)</t>
        </is>
      </c>
      <c r="G45" s="5" t="inlineStr">
        <is>
          <t>否</t>
        </is>
      </c>
      <c r="H45" s="5" t="inlineStr">
        <is>
          <t>5-6为主</t>
        </is>
      </c>
      <c r="I45" s="5" t="inlineStr">
        <is>
          <t>→A/F-08</t>
        </is>
      </c>
    </row>
    <row r="46">
      <c r="A46" s="5" t="inlineStr">
        <is>
          <t>F-08</t>
        </is>
      </c>
      <c r="B46" s="5" t="inlineStr">
        <is>
          <t>03 学习动机量表</t>
        </is>
      </c>
      <c r="C46" s="5" t="inlineStr">
        <is>
          <t>内在动机</t>
        </is>
      </c>
      <c r="D46" s="5" t="n">
        <v>3</v>
      </c>
      <c r="E46" s="5" t="inlineStr">
        <is>
          <t>因为解决难题让我有成就感</t>
        </is>
      </c>
      <c r="F46" s="5" t="inlineStr">
        <is>
          <t>1-7(不符合~符合)</t>
        </is>
      </c>
      <c r="G46" s="5" t="inlineStr">
        <is>
          <t>否</t>
        </is>
      </c>
      <c r="H46" s="5" t="inlineStr">
        <is>
          <t>5-6为主</t>
        </is>
      </c>
      <c r="I46" s="5" t="inlineStr">
        <is>
          <t>→A/F-08</t>
        </is>
      </c>
    </row>
    <row r="47">
      <c r="A47" s="5" t="inlineStr">
        <is>
          <t>F-08</t>
        </is>
      </c>
      <c r="B47" s="5" t="inlineStr">
        <is>
          <t>03 学习动机量表</t>
        </is>
      </c>
      <c r="C47" s="5" t="inlineStr">
        <is>
          <t>认同调节</t>
        </is>
      </c>
      <c r="D47" s="5" t="n">
        <v>4</v>
      </c>
      <c r="E47" s="5" t="inlineStr">
        <is>
          <t>因为学习对我实现目标很重要</t>
        </is>
      </c>
      <c r="F47" s="5" t="inlineStr">
        <is>
          <t>1-7(不符合~符合)</t>
        </is>
      </c>
      <c r="G47" s="5" t="inlineStr">
        <is>
          <t>否</t>
        </is>
      </c>
      <c r="H47" s="5" t="inlineStr">
        <is>
          <t>5-6为主</t>
        </is>
      </c>
      <c r="I47" s="5" t="inlineStr">
        <is>
          <t>→A/F-08</t>
        </is>
      </c>
    </row>
    <row r="48">
      <c r="A48" s="5" t="inlineStr">
        <is>
          <t>F-08</t>
        </is>
      </c>
      <c r="B48" s="5" t="inlineStr">
        <is>
          <t>03 学习动机量表</t>
        </is>
      </c>
      <c r="C48" s="5" t="inlineStr">
        <is>
          <t>认同调节</t>
        </is>
      </c>
      <c r="D48" s="5" t="n">
        <v>5</v>
      </c>
      <c r="E48" s="5" t="inlineStr">
        <is>
          <t>因为我想成为有知识有能力的人</t>
        </is>
      </c>
      <c r="F48" s="5" t="inlineStr">
        <is>
          <t>1-7(不符合~符合)</t>
        </is>
      </c>
      <c r="G48" s="5" t="inlineStr">
        <is>
          <t>否</t>
        </is>
      </c>
      <c r="H48" s="5" t="inlineStr">
        <is>
          <t>5-6为主</t>
        </is>
      </c>
      <c r="I48" s="5" t="inlineStr">
        <is>
          <t>→A/F-08</t>
        </is>
      </c>
    </row>
    <row r="49">
      <c r="A49" s="5" t="inlineStr">
        <is>
          <t>F-08</t>
        </is>
      </c>
      <c r="B49" s="5" t="inlineStr">
        <is>
          <t>03 学习动机量表</t>
        </is>
      </c>
      <c r="C49" s="5" t="inlineStr">
        <is>
          <t>认同调节</t>
        </is>
      </c>
      <c r="D49" s="5" t="n">
        <v>6</v>
      </c>
      <c r="E49" s="5" t="inlineStr">
        <is>
          <t>因为掌握本领对将来有用</t>
        </is>
      </c>
      <c r="F49" s="5" t="inlineStr">
        <is>
          <t>1-7(不符合~符合)</t>
        </is>
      </c>
      <c r="G49" s="5" t="inlineStr">
        <is>
          <t>否</t>
        </is>
      </c>
      <c r="H49" s="5" t="inlineStr">
        <is>
          <t>5-6为主</t>
        </is>
      </c>
      <c r="I49" s="5" t="inlineStr">
        <is>
          <t>→A/F-08</t>
        </is>
      </c>
    </row>
    <row r="50">
      <c r="A50" s="5" t="inlineStr">
        <is>
          <t>F-08</t>
        </is>
      </c>
      <c r="B50" s="5" t="inlineStr">
        <is>
          <t>03 学习动机量表</t>
        </is>
      </c>
      <c r="C50" s="5" t="inlineStr">
        <is>
          <t>外在调节</t>
        </is>
      </c>
      <c r="D50" s="5" t="n">
        <v>7</v>
      </c>
      <c r="E50" s="5" t="inlineStr">
        <is>
          <t>为了避免被批评或惩罚而学</t>
        </is>
      </c>
      <c r="F50" s="5" t="inlineStr">
        <is>
          <t>1-7(不符合~符合)</t>
        </is>
      </c>
      <c r="G50" s="5" t="inlineStr">
        <is>
          <t>否</t>
        </is>
      </c>
      <c r="H50" s="5" t="inlineStr">
        <is>
          <t>5-6为主</t>
        </is>
      </c>
      <c r="I50" s="5" t="inlineStr">
        <is>
          <t>→A/F-08</t>
        </is>
      </c>
    </row>
    <row r="51">
      <c r="A51" s="5" t="inlineStr">
        <is>
          <t>F-08</t>
        </is>
      </c>
      <c r="B51" s="5" t="inlineStr">
        <is>
          <t>03 学习动机量表</t>
        </is>
      </c>
      <c r="C51" s="5" t="inlineStr">
        <is>
          <t>外在调节</t>
        </is>
      </c>
      <c r="D51" s="5" t="n">
        <v>8</v>
      </c>
      <c r="E51" s="5" t="inlineStr">
        <is>
          <t>为了获得奖励或表扬而学</t>
        </is>
      </c>
      <c r="F51" s="5" t="inlineStr">
        <is>
          <t>1-7(不符合~符合)</t>
        </is>
      </c>
      <c r="G51" s="5" t="inlineStr">
        <is>
          <t>否</t>
        </is>
      </c>
      <c r="H51" s="5" t="inlineStr">
        <is>
          <t>5-6为主</t>
        </is>
      </c>
      <c r="I51" s="5" t="inlineStr">
        <is>
          <t>→A/F-08</t>
        </is>
      </c>
    </row>
    <row r="52">
      <c r="A52" s="5" t="inlineStr">
        <is>
          <t>F-08</t>
        </is>
      </c>
      <c r="B52" s="5" t="inlineStr">
        <is>
          <t>03 学习动机量表</t>
        </is>
      </c>
      <c r="C52" s="5" t="inlineStr">
        <is>
          <t>外在调节</t>
        </is>
      </c>
      <c r="D52" s="5" t="n">
        <v>9</v>
      </c>
      <c r="E52" s="5" t="inlineStr">
        <is>
          <t>因为家长/老师要求必须学</t>
        </is>
      </c>
      <c r="F52" s="5" t="inlineStr">
        <is>
          <t>1-7(不符合~符合)</t>
        </is>
      </c>
      <c r="G52" s="5" t="inlineStr">
        <is>
          <t>否</t>
        </is>
      </c>
      <c r="H52" s="5" t="inlineStr">
        <is>
          <t>5-6为主</t>
        </is>
      </c>
      <c r="I52" s="5" t="inlineStr">
        <is>
          <t>→A/F-08</t>
        </is>
      </c>
    </row>
    <row r="53">
      <c r="A53" s="5" t="inlineStr">
        <is>
          <t>F-08</t>
        </is>
      </c>
      <c r="B53" s="5" t="inlineStr">
        <is>
          <t>03 学习动机量表</t>
        </is>
      </c>
      <c r="C53" s="5" t="inlineStr">
        <is>
          <t>无动机</t>
        </is>
      </c>
      <c r="D53" s="5" t="n">
        <v>10</v>
      </c>
      <c r="E53" s="5" t="inlineStr">
        <is>
          <t>我不清楚学习到底有什么用</t>
        </is>
      </c>
      <c r="F53" s="5" t="inlineStr">
        <is>
          <t>1-7(不符合~符合)</t>
        </is>
      </c>
      <c r="G53" s="5" t="inlineStr">
        <is>
          <t>否</t>
        </is>
      </c>
      <c r="H53" s="5" t="inlineStr">
        <is>
          <t>5-6为主</t>
        </is>
      </c>
      <c r="I53" s="5" t="inlineStr">
        <is>
          <t>→A/F-08</t>
        </is>
      </c>
    </row>
    <row r="54">
      <c r="A54" s="5" t="inlineStr">
        <is>
          <t>F-08</t>
        </is>
      </c>
      <c r="B54" s="5" t="inlineStr">
        <is>
          <t>03 学习动机量表</t>
        </is>
      </c>
      <c r="C54" s="5" t="inlineStr">
        <is>
          <t>无动机</t>
        </is>
      </c>
      <c r="D54" s="5" t="n">
        <v>11</v>
      </c>
      <c r="E54" s="5" t="inlineStr">
        <is>
          <t>学不学对我都无所谓</t>
        </is>
      </c>
      <c r="F54" s="5" t="inlineStr">
        <is>
          <t>1-7(不符合~符合)</t>
        </is>
      </c>
      <c r="G54" s="5" t="inlineStr">
        <is>
          <t>否</t>
        </is>
      </c>
      <c r="H54" s="5" t="inlineStr">
        <is>
          <t>5-6为主</t>
        </is>
      </c>
      <c r="I54" s="5" t="inlineStr">
        <is>
          <t>→A/F-08</t>
        </is>
      </c>
    </row>
    <row r="55">
      <c r="A55" s="5" t="inlineStr">
        <is>
          <t>F-08</t>
        </is>
      </c>
      <c r="B55" s="5" t="inlineStr">
        <is>
          <t>03 学习动机量表</t>
        </is>
      </c>
      <c r="C55" s="5" t="inlineStr">
        <is>
          <t>无动机</t>
        </is>
      </c>
      <c r="D55" s="5" t="n">
        <v>12</v>
      </c>
      <c r="E55" s="5" t="inlineStr">
        <is>
          <t>我学不进去也懒得管</t>
        </is>
      </c>
      <c r="F55" s="5" t="inlineStr">
        <is>
          <t>1-7(不符合~符合)</t>
        </is>
      </c>
      <c r="G55" s="5" t="inlineStr">
        <is>
          <t>否</t>
        </is>
      </c>
      <c r="H55" s="5" t="inlineStr">
        <is>
          <t>5-6为主</t>
        </is>
      </c>
      <c r="I55" s="5" t="inlineStr">
        <is>
          <t>→A/F-08</t>
        </is>
      </c>
    </row>
    <row r="56">
      <c r="A56" s="5" t="inlineStr">
        <is>
          <t>F-11</t>
        </is>
      </c>
      <c r="B56" s="5" t="inlineStr">
        <is>
          <t>04 学业情绪量表</t>
        </is>
      </c>
      <c r="C56" s="5" t="inlineStr">
        <is>
          <t>积极-享受</t>
        </is>
      </c>
      <c r="D56" s="5" t="n">
        <v>1</v>
      </c>
      <c r="E56" s="5" t="inlineStr">
        <is>
          <t>听懂课时我感到开心</t>
        </is>
      </c>
      <c r="F56" s="5" t="inlineStr">
        <is>
          <t>1-5(从不~总是)</t>
        </is>
      </c>
      <c r="G56" s="5" t="inlineStr">
        <is>
          <t>否</t>
        </is>
      </c>
      <c r="H56" s="5" t="inlineStr">
        <is>
          <t>全学段</t>
        </is>
      </c>
      <c r="I56" s="5" t="inlineStr">
        <is>
          <t>→A/F-11</t>
        </is>
      </c>
    </row>
    <row r="57">
      <c r="A57" s="5" t="inlineStr">
        <is>
          <t>F-11</t>
        </is>
      </c>
      <c r="B57" s="5" t="inlineStr">
        <is>
          <t>04 学业情绪量表</t>
        </is>
      </c>
      <c r="C57" s="5" t="inlineStr">
        <is>
          <t>积极-享受</t>
        </is>
      </c>
      <c r="D57" s="5" t="n">
        <v>2</v>
      </c>
      <c r="E57" s="5" t="inlineStr">
        <is>
          <t>解决难题让我愉悦</t>
        </is>
      </c>
      <c r="F57" s="5" t="inlineStr">
        <is>
          <t>1-5(从不~总是)</t>
        </is>
      </c>
      <c r="G57" s="5" t="inlineStr">
        <is>
          <t>否</t>
        </is>
      </c>
      <c r="H57" s="5" t="inlineStr">
        <is>
          <t>全学段</t>
        </is>
      </c>
      <c r="I57" s="5" t="inlineStr">
        <is>
          <t>→A/F-11</t>
        </is>
      </c>
    </row>
    <row r="58">
      <c r="A58" s="5" t="inlineStr">
        <is>
          <t>F-11</t>
        </is>
      </c>
      <c r="B58" s="5" t="inlineStr">
        <is>
          <t>04 学业情绪量表</t>
        </is>
      </c>
      <c r="C58" s="5" t="inlineStr">
        <is>
          <t>积极-希望</t>
        </is>
      </c>
      <c r="D58" s="5" t="n">
        <v>3</v>
      </c>
      <c r="E58" s="5" t="inlineStr">
        <is>
          <t>我相信自己能学好</t>
        </is>
      </c>
      <c r="F58" s="5" t="inlineStr">
        <is>
          <t>1-5(从不~总是)</t>
        </is>
      </c>
      <c r="G58" s="5" t="inlineStr">
        <is>
          <t>否</t>
        </is>
      </c>
      <c r="H58" s="5" t="inlineStr">
        <is>
          <t>全学段</t>
        </is>
      </c>
      <c r="I58" s="5" t="inlineStr">
        <is>
          <t>→A/F-11</t>
        </is>
      </c>
    </row>
    <row r="59">
      <c r="A59" s="5" t="inlineStr">
        <is>
          <t>F-11</t>
        </is>
      </c>
      <c r="B59" s="5" t="inlineStr">
        <is>
          <t>04 学业情绪量表</t>
        </is>
      </c>
      <c r="C59" s="5" t="inlineStr">
        <is>
          <t>积极-希望</t>
        </is>
      </c>
      <c r="D59" s="5" t="n">
        <v>4</v>
      </c>
      <c r="E59" s="5" t="inlineStr">
        <is>
          <t>我对进步充满期待</t>
        </is>
      </c>
      <c r="F59" s="5" t="inlineStr">
        <is>
          <t>1-5(从不~总是)</t>
        </is>
      </c>
      <c r="G59" s="5" t="inlineStr">
        <is>
          <t>否</t>
        </is>
      </c>
      <c r="H59" s="5" t="inlineStr">
        <is>
          <t>全学段</t>
        </is>
      </c>
      <c r="I59" s="5" t="inlineStr">
        <is>
          <t>→A/F-11</t>
        </is>
      </c>
    </row>
    <row r="60">
      <c r="A60" s="5" t="inlineStr">
        <is>
          <t>F-11</t>
        </is>
      </c>
      <c r="B60" s="5" t="inlineStr">
        <is>
          <t>04 学业情绪量表</t>
        </is>
      </c>
      <c r="C60" s="5" t="inlineStr">
        <is>
          <t>积极-自豪</t>
        </is>
      </c>
      <c r="D60" s="5" t="n">
        <v>5</v>
      </c>
      <c r="E60" s="5" t="inlineStr">
        <is>
          <t>取得好成绩我为自己骄傲</t>
        </is>
      </c>
      <c r="F60" s="5" t="inlineStr">
        <is>
          <t>1-5(从不~总是)</t>
        </is>
      </c>
      <c r="G60" s="5" t="inlineStr">
        <is>
          <t>否</t>
        </is>
      </c>
      <c r="H60" s="5" t="inlineStr">
        <is>
          <t>全学段</t>
        </is>
      </c>
      <c r="I60" s="5" t="inlineStr">
        <is>
          <t>→A/F-11</t>
        </is>
      </c>
    </row>
    <row r="61">
      <c r="A61" s="5" t="inlineStr">
        <is>
          <t>F-11</t>
        </is>
      </c>
      <c r="B61" s="5" t="inlineStr">
        <is>
          <t>04 学业情绪量表</t>
        </is>
      </c>
      <c r="C61" s="5" t="inlineStr">
        <is>
          <t>积极-自豪</t>
        </is>
      </c>
      <c r="D61" s="5" t="n">
        <v>6</v>
      </c>
      <c r="E61" s="5" t="inlineStr">
        <is>
          <t>掌握新技能我有成就感</t>
        </is>
      </c>
      <c r="F61" s="5" t="inlineStr">
        <is>
          <t>1-5(从不~总是)</t>
        </is>
      </c>
      <c r="G61" s="5" t="inlineStr">
        <is>
          <t>否</t>
        </is>
      </c>
      <c r="H61" s="5" t="inlineStr">
        <is>
          <t>全学段</t>
        </is>
      </c>
      <c r="I61" s="5" t="inlineStr">
        <is>
          <t>→A/F-11</t>
        </is>
      </c>
    </row>
    <row r="62">
      <c r="A62" s="5" t="inlineStr">
        <is>
          <t>F-11</t>
        </is>
      </c>
      <c r="B62" s="5" t="inlineStr">
        <is>
          <t>04 学业情绪量表</t>
        </is>
      </c>
      <c r="C62" s="5" t="inlineStr">
        <is>
          <t>消极-焦虑</t>
        </is>
      </c>
      <c r="D62" s="5" t="n">
        <v>7</v>
      </c>
      <c r="E62" s="5" t="inlineStr">
        <is>
          <t>考试前我会紧张不安</t>
        </is>
      </c>
      <c r="F62" s="5" t="inlineStr">
        <is>
          <t>1-5(从不~总是)</t>
        </is>
      </c>
      <c r="G62" s="5" t="inlineStr">
        <is>
          <t>否</t>
        </is>
      </c>
      <c r="H62" s="5" t="inlineStr">
        <is>
          <t>全学段</t>
        </is>
      </c>
      <c r="I62" s="5" t="inlineStr">
        <is>
          <t>→A/F-11</t>
        </is>
      </c>
    </row>
    <row r="63">
      <c r="A63" s="5" t="inlineStr">
        <is>
          <t>F-11</t>
        </is>
      </c>
      <c r="B63" s="5" t="inlineStr">
        <is>
          <t>04 学业情绪量表</t>
        </is>
      </c>
      <c r="C63" s="5" t="inlineStr">
        <is>
          <t>消极-焦虑</t>
        </is>
      </c>
      <c r="D63" s="5" t="n">
        <v>8</v>
      </c>
      <c r="E63" s="5" t="inlineStr">
        <is>
          <t>怕考不好让我担心</t>
        </is>
      </c>
      <c r="F63" s="5" t="inlineStr">
        <is>
          <t>1-5(从不~总是)</t>
        </is>
      </c>
      <c r="G63" s="5" t="inlineStr">
        <is>
          <t>否</t>
        </is>
      </c>
      <c r="H63" s="5" t="inlineStr">
        <is>
          <t>全学段</t>
        </is>
      </c>
      <c r="I63" s="5" t="inlineStr">
        <is>
          <t>→A/F-11</t>
        </is>
      </c>
    </row>
    <row r="64">
      <c r="A64" s="5" t="inlineStr">
        <is>
          <t>F-11</t>
        </is>
      </c>
      <c r="B64" s="5" t="inlineStr">
        <is>
          <t>04 学业情绪量表</t>
        </is>
      </c>
      <c r="C64" s="5" t="inlineStr">
        <is>
          <t>消极-无聊</t>
        </is>
      </c>
      <c r="D64" s="5" t="n">
        <v>9</v>
      </c>
      <c r="E64" s="5" t="inlineStr">
        <is>
          <t>上课时常觉得枯燥没意思</t>
        </is>
      </c>
      <c r="F64" s="5" t="inlineStr">
        <is>
          <t>1-5(从不~总是)</t>
        </is>
      </c>
      <c r="G64" s="5" t="inlineStr">
        <is>
          <t>否</t>
        </is>
      </c>
      <c r="H64" s="5" t="inlineStr">
        <is>
          <t>全学段</t>
        </is>
      </c>
      <c r="I64" s="5" t="inlineStr">
        <is>
          <t>→A/F-11</t>
        </is>
      </c>
    </row>
    <row r="65">
      <c r="A65" s="5" t="inlineStr">
        <is>
          <t>F-11</t>
        </is>
      </c>
      <c r="B65" s="5" t="inlineStr">
        <is>
          <t>04 学业情绪量表</t>
        </is>
      </c>
      <c r="C65" s="5" t="inlineStr">
        <is>
          <t>消极-无聊</t>
        </is>
      </c>
      <c r="D65" s="5" t="n">
        <v>10</v>
      </c>
      <c r="E65" s="5" t="inlineStr">
        <is>
          <t>觉得作业单调乏味</t>
        </is>
      </c>
      <c r="F65" s="5" t="inlineStr">
        <is>
          <t>1-5(从不~总是)</t>
        </is>
      </c>
      <c r="G65" s="5" t="inlineStr">
        <is>
          <t>否</t>
        </is>
      </c>
      <c r="H65" s="5" t="inlineStr">
        <is>
          <t>全学段</t>
        </is>
      </c>
      <c r="I65" s="5" t="inlineStr">
        <is>
          <t>→A/F-11</t>
        </is>
      </c>
    </row>
    <row r="66">
      <c r="A66" s="5" t="inlineStr">
        <is>
          <t>F-11</t>
        </is>
      </c>
      <c r="B66" s="5" t="inlineStr">
        <is>
          <t>04 学业情绪量表</t>
        </is>
      </c>
      <c r="C66" s="5" t="inlineStr">
        <is>
          <t>消极-羞耻</t>
        </is>
      </c>
      <c r="D66" s="5" t="n">
        <v>11</v>
      </c>
      <c r="E66" s="5" t="inlineStr">
        <is>
          <t>成绩差时觉得自己不行</t>
        </is>
      </c>
      <c r="F66" s="5" t="inlineStr">
        <is>
          <t>1-5(从不~总是)</t>
        </is>
      </c>
      <c r="G66" s="5" t="inlineStr">
        <is>
          <t>否</t>
        </is>
      </c>
      <c r="H66" s="5" t="inlineStr">
        <is>
          <t>全学段</t>
        </is>
      </c>
      <c r="I66" s="5" t="inlineStr">
        <is>
          <t>→A/F-11</t>
        </is>
      </c>
    </row>
    <row r="67">
      <c r="A67" s="5" t="inlineStr">
        <is>
          <t>F-11</t>
        </is>
      </c>
      <c r="B67" s="5" t="inlineStr">
        <is>
          <t>04 学业情绪量表</t>
        </is>
      </c>
      <c r="C67" s="5" t="inlineStr">
        <is>
          <t>消极-羞耻</t>
        </is>
      </c>
      <c r="D67" s="5" t="n">
        <v>12</v>
      </c>
      <c r="E67" s="5" t="inlineStr">
        <is>
          <t>出错时怕被同学笑话</t>
        </is>
      </c>
      <c r="F67" s="5" t="inlineStr">
        <is>
          <t>1-5(从不~总是)</t>
        </is>
      </c>
      <c r="G67" s="5" t="inlineStr">
        <is>
          <t>否</t>
        </is>
      </c>
      <c r="H67" s="5" t="inlineStr">
        <is>
          <t>全学段</t>
        </is>
      </c>
      <c r="I67" s="5" t="inlineStr">
        <is>
          <t>→A/F-11</t>
        </is>
      </c>
    </row>
    <row r="68">
      <c r="A68" s="5" t="inlineStr">
        <is>
          <t>F-10</t>
        </is>
      </c>
      <c r="B68" s="5" t="inlineStr">
        <is>
          <t>05 依恋关系评估</t>
        </is>
      </c>
      <c r="C68" s="5" t="inlineStr">
        <is>
          <t>安全-亲近</t>
        </is>
      </c>
      <c r="D68" s="5" t="n">
        <v>1</v>
      </c>
      <c r="E68" s="5" t="inlineStr">
        <is>
          <t>遇到困难时愿意主动找父母说</t>
        </is>
      </c>
      <c r="F68" s="5" t="inlineStr">
        <is>
          <t>1-5(不符合~符合)</t>
        </is>
      </c>
      <c r="G68" s="5" t="inlineStr">
        <is>
          <t>否</t>
        </is>
      </c>
      <c r="H68" s="5" t="inlineStr">
        <is>
          <t>全学段</t>
        </is>
      </c>
      <c r="I68" s="5" t="inlineStr">
        <is>
          <t>→A/F-10</t>
        </is>
      </c>
    </row>
    <row r="69">
      <c r="A69" s="5" t="inlineStr">
        <is>
          <t>F-10</t>
        </is>
      </c>
      <c r="B69" s="5" t="inlineStr">
        <is>
          <t>05 依恋关系评估</t>
        </is>
      </c>
      <c r="C69" s="5" t="inlineStr">
        <is>
          <t>安全-亲近</t>
        </is>
      </c>
      <c r="D69" s="5" t="n">
        <v>2</v>
      </c>
      <c r="E69" s="5" t="inlineStr">
        <is>
          <t>喜欢和父母一起做事情</t>
        </is>
      </c>
      <c r="F69" s="5" t="inlineStr">
        <is>
          <t>1-5(不符合~符合)</t>
        </is>
      </c>
      <c r="G69" s="5" t="inlineStr">
        <is>
          <t>否</t>
        </is>
      </c>
      <c r="H69" s="5" t="inlineStr">
        <is>
          <t>全学段</t>
        </is>
      </c>
      <c r="I69" s="5" t="inlineStr">
        <is>
          <t>→A/F-10</t>
        </is>
      </c>
    </row>
    <row r="70">
      <c r="A70" s="5" t="inlineStr">
        <is>
          <t>F-10</t>
        </is>
      </c>
      <c r="B70" s="5" t="inlineStr">
        <is>
          <t>05 依恋关系评估</t>
        </is>
      </c>
      <c r="C70" s="5" t="inlineStr">
        <is>
          <t>安全-亲近</t>
        </is>
      </c>
      <c r="D70" s="5" t="n">
        <v>3</v>
      </c>
      <c r="E70" s="5" t="inlineStr">
        <is>
          <t>和父母分开一段时间后想念他们</t>
        </is>
      </c>
      <c r="F70" s="5" t="inlineStr">
        <is>
          <t>1-5(不符合~符合)</t>
        </is>
      </c>
      <c r="G70" s="5" t="inlineStr">
        <is>
          <t>否</t>
        </is>
      </c>
      <c r="H70" s="5" t="inlineStr">
        <is>
          <t>全学段</t>
        </is>
      </c>
      <c r="I70" s="5" t="inlineStr">
        <is>
          <t>→A/F-10</t>
        </is>
      </c>
    </row>
    <row r="71">
      <c r="A71" s="5" t="inlineStr">
        <is>
          <t>F-10</t>
        </is>
      </c>
      <c r="B71" s="5" t="inlineStr">
        <is>
          <t>05 依恋关系评估</t>
        </is>
      </c>
      <c r="C71" s="5" t="inlineStr">
        <is>
          <t>安全-依赖</t>
        </is>
      </c>
      <c r="D71" s="5" t="n">
        <v>4</v>
      </c>
      <c r="E71" s="5" t="inlineStr">
        <is>
          <t>受委屈时找父母能平静下来</t>
        </is>
      </c>
      <c r="F71" s="5" t="inlineStr">
        <is>
          <t>1-5(不符合~符合)</t>
        </is>
      </c>
      <c r="G71" s="5" t="inlineStr">
        <is>
          <t>否</t>
        </is>
      </c>
      <c r="H71" s="5" t="inlineStr">
        <is>
          <t>全学段</t>
        </is>
      </c>
      <c r="I71" s="5" t="inlineStr">
        <is>
          <t>→A/F-10</t>
        </is>
      </c>
    </row>
    <row r="72">
      <c r="A72" s="5" t="inlineStr">
        <is>
          <t>F-10</t>
        </is>
      </c>
      <c r="B72" s="5" t="inlineStr">
        <is>
          <t>05 依恋关系评估</t>
        </is>
      </c>
      <c r="C72" s="5" t="inlineStr">
        <is>
          <t>安全-依赖</t>
        </is>
      </c>
      <c r="D72" s="5" t="n">
        <v>5</v>
      </c>
      <c r="E72" s="5" t="inlineStr">
        <is>
          <t>做重要决定会参考父母意见</t>
        </is>
      </c>
      <c r="F72" s="5" t="inlineStr">
        <is>
          <t>1-5(不符合~符合)</t>
        </is>
      </c>
      <c r="G72" s="5" t="inlineStr">
        <is>
          <t>否</t>
        </is>
      </c>
      <c r="H72" s="5" t="inlineStr">
        <is>
          <t>全学段</t>
        </is>
      </c>
      <c r="I72" s="5" t="inlineStr">
        <is>
          <t>→A/F-10</t>
        </is>
      </c>
    </row>
    <row r="73">
      <c r="A73" s="5" t="inlineStr">
        <is>
          <t>F-10</t>
        </is>
      </c>
      <c r="B73" s="5" t="inlineStr">
        <is>
          <t>05 依恋关系评估</t>
        </is>
      </c>
      <c r="C73" s="5" t="inlineStr">
        <is>
          <t>安全-依赖</t>
        </is>
      </c>
      <c r="D73" s="5" t="n">
        <v>6</v>
      </c>
      <c r="E73" s="5" t="inlineStr">
        <is>
          <t>在新环境会先看父母反应再行动</t>
        </is>
      </c>
      <c r="F73" s="5" t="inlineStr">
        <is>
          <t>1-5(不符合~符合)</t>
        </is>
      </c>
      <c r="G73" s="5" t="inlineStr">
        <is>
          <t>否</t>
        </is>
      </c>
      <c r="H73" s="5" t="inlineStr">
        <is>
          <t>全学段</t>
        </is>
      </c>
      <c r="I73" s="5" t="inlineStr">
        <is>
          <t>→A/F-10</t>
        </is>
      </c>
    </row>
    <row r="74">
      <c r="A74" s="5" t="inlineStr">
        <is>
          <t>F-10</t>
        </is>
      </c>
      <c r="B74" s="5" t="inlineStr">
        <is>
          <t>05 依恋关系评估</t>
        </is>
      </c>
      <c r="C74" s="5" t="inlineStr">
        <is>
          <t>安全-安全感</t>
        </is>
      </c>
      <c r="D74" s="5" t="n">
        <v>7</v>
      </c>
      <c r="E74" s="5" t="inlineStr">
        <is>
          <t>我相信父母会支持我</t>
        </is>
      </c>
      <c r="F74" s="5" t="inlineStr">
        <is>
          <t>1-5(不符合~符合)</t>
        </is>
      </c>
      <c r="G74" s="5" t="inlineStr">
        <is>
          <t>否</t>
        </is>
      </c>
      <c r="H74" s="5" t="inlineStr">
        <is>
          <t>全学段</t>
        </is>
      </c>
      <c r="I74" s="5" t="inlineStr">
        <is>
          <t>→A/F-10</t>
        </is>
      </c>
    </row>
    <row r="75">
      <c r="A75" s="5" t="inlineStr">
        <is>
          <t>F-10</t>
        </is>
      </c>
      <c r="B75" s="5" t="inlineStr">
        <is>
          <t>05 依恋关系评估</t>
        </is>
      </c>
      <c r="C75" s="5" t="inlineStr">
        <is>
          <t>安全-安全感</t>
        </is>
      </c>
      <c r="D75" s="5" t="n">
        <v>8</v>
      </c>
      <c r="E75" s="5" t="inlineStr">
        <is>
          <t>犯错后不怕被父母嫌弃</t>
        </is>
      </c>
      <c r="F75" s="5" t="inlineStr">
        <is>
          <t>1-5(不符合~符合)</t>
        </is>
      </c>
      <c r="G75" s="5" t="inlineStr">
        <is>
          <t>否</t>
        </is>
      </c>
      <c r="H75" s="5" t="inlineStr">
        <is>
          <t>全学段</t>
        </is>
      </c>
      <c r="I75" s="5" t="inlineStr">
        <is>
          <t>→A/F-10</t>
        </is>
      </c>
    </row>
    <row r="76">
      <c r="A76" s="5" t="inlineStr">
        <is>
          <t>F-10</t>
        </is>
      </c>
      <c r="B76" s="5" t="inlineStr">
        <is>
          <t>05 依恋关系评估</t>
        </is>
      </c>
      <c r="C76" s="5" t="inlineStr">
        <is>
          <t>安全-安全感</t>
        </is>
      </c>
      <c r="D76" s="5" t="n">
        <v>9</v>
      </c>
      <c r="E76" s="5" t="inlineStr">
        <is>
          <t>我觉得父母是可靠的</t>
        </is>
      </c>
      <c r="F76" s="5" t="inlineStr">
        <is>
          <t>1-5(不符合~符合)</t>
        </is>
      </c>
      <c r="G76" s="5" t="inlineStr">
        <is>
          <t>否</t>
        </is>
      </c>
      <c r="H76" s="5" t="inlineStr">
        <is>
          <t>全学段</t>
        </is>
      </c>
      <c r="I76" s="5" t="inlineStr">
        <is>
          <t>→A/F-10</t>
        </is>
      </c>
    </row>
    <row r="77">
      <c r="A77" s="5" t="inlineStr">
        <is>
          <t>F-10</t>
        </is>
      </c>
      <c r="B77" s="5" t="inlineStr">
        <is>
          <t>05 依恋关系评估</t>
        </is>
      </c>
      <c r="C77" s="5" t="inlineStr">
        <is>
          <t>风险项(回避/矛盾/紊乱)</t>
        </is>
      </c>
      <c r="D77" s="5" t="n">
        <v>10</v>
      </c>
      <c r="E77" s="5" t="inlineStr">
        <is>
          <t>有事宁愿憋着也不告诉父母（风险·反向）</t>
        </is>
      </c>
      <c r="F77" s="5" t="inlineStr">
        <is>
          <t>1-5(不符合~符合)</t>
        </is>
      </c>
      <c r="G77" s="31" t="inlineStr">
        <is>
          <t>是</t>
        </is>
      </c>
      <c r="H77" s="5" t="inlineStr">
        <is>
          <t>全学段</t>
        </is>
      </c>
      <c r="I77" s="5" t="inlineStr">
        <is>
          <t>→A/F-10</t>
        </is>
      </c>
    </row>
    <row r="78">
      <c r="A78" s="5" t="inlineStr">
        <is>
          <t>F-10</t>
        </is>
      </c>
      <c r="B78" s="5" t="inlineStr">
        <is>
          <t>05 依恋关系评估</t>
        </is>
      </c>
      <c r="C78" s="5" t="inlineStr">
        <is>
          <t>风险项(回避/矛盾/紊乱)</t>
        </is>
      </c>
      <c r="D78" s="5" t="n">
        <v>11</v>
      </c>
      <c r="E78" s="5" t="inlineStr">
        <is>
          <t>怕和父母亲近会受伤（风险·反向）</t>
        </is>
      </c>
      <c r="F78" s="5" t="inlineStr">
        <is>
          <t>1-5(不符合~符合)</t>
        </is>
      </c>
      <c r="G78" s="31" t="inlineStr">
        <is>
          <t>是</t>
        </is>
      </c>
      <c r="H78" s="5" t="inlineStr">
        <is>
          <t>全学段</t>
        </is>
      </c>
      <c r="I78" s="5" t="inlineStr">
        <is>
          <t>→A/F-10</t>
        </is>
      </c>
    </row>
    <row r="79">
      <c r="A79" s="5" t="inlineStr">
        <is>
          <t>F-10</t>
        </is>
      </c>
      <c r="B79" s="5" t="inlineStr">
        <is>
          <t>05 依恋关系评估</t>
        </is>
      </c>
      <c r="C79" s="5" t="inlineStr">
        <is>
          <t>风险项(回避/矛盾/紊乱)</t>
        </is>
      </c>
      <c r="D79" s="5" t="n">
        <v>12</v>
      </c>
      <c r="E79" s="5" t="inlineStr">
        <is>
          <t>对父母的承诺将信将疑（风险·反向）</t>
        </is>
      </c>
      <c r="F79" s="5" t="inlineStr">
        <is>
          <t>1-5(不符合~符合)</t>
        </is>
      </c>
      <c r="G79" s="31" t="inlineStr">
        <is>
          <t>是</t>
        </is>
      </c>
      <c r="H79" s="5" t="inlineStr">
        <is>
          <t>全学段</t>
        </is>
      </c>
      <c r="I79" s="5" t="inlineStr">
        <is>
          <t>→A/F-10</t>
        </is>
      </c>
    </row>
    <row r="80">
      <c r="A80" s="5" t="inlineStr">
        <is>
          <t>F-02</t>
        </is>
      </c>
      <c r="B80" s="5" t="inlineStr">
        <is>
          <t>06 课堂观察评定</t>
        </is>
      </c>
      <c r="C80" s="5" t="inlineStr">
        <is>
          <t>课堂参与</t>
        </is>
      </c>
      <c r="D80" s="5" t="n">
        <v>1</v>
      </c>
      <c r="E80" s="5" t="inlineStr">
        <is>
          <t>课堂任务投入度</t>
        </is>
      </c>
      <c r="F80" s="5" t="inlineStr">
        <is>
          <t>1-5(差~优)</t>
        </is>
      </c>
      <c r="G80" s="5" t="inlineStr">
        <is>
          <t>否</t>
        </is>
      </c>
      <c r="H80" s="5" t="inlineStr">
        <is>
          <t>全学段</t>
        </is>
      </c>
      <c r="I80" s="5" t="inlineStr">
        <is>
          <t>→A/F-02</t>
        </is>
      </c>
    </row>
    <row r="81">
      <c r="A81" s="5" t="inlineStr">
        <is>
          <t>F-02</t>
        </is>
      </c>
      <c r="B81" s="5" t="inlineStr">
        <is>
          <t>06 课堂观察评定</t>
        </is>
      </c>
      <c r="C81" s="5" t="inlineStr">
        <is>
          <t>课堂参与</t>
        </is>
      </c>
      <c r="D81" s="5" t="n">
        <v>2</v>
      </c>
      <c r="E81" s="5" t="inlineStr">
        <is>
          <t>注意力持续性</t>
        </is>
      </c>
      <c r="F81" s="5" t="inlineStr">
        <is>
          <t>1-5(差~优)</t>
        </is>
      </c>
      <c r="G81" s="5" t="inlineStr">
        <is>
          <t>否</t>
        </is>
      </c>
      <c r="H81" s="5" t="inlineStr">
        <is>
          <t>全学段</t>
        </is>
      </c>
      <c r="I81" s="5" t="inlineStr">
        <is>
          <t>→A/F-02</t>
        </is>
      </c>
    </row>
    <row r="82">
      <c r="A82" s="5" t="inlineStr">
        <is>
          <t>F-02</t>
        </is>
      </c>
      <c r="B82" s="5" t="inlineStr">
        <is>
          <t>06 课堂观察评定</t>
        </is>
      </c>
      <c r="C82" s="5" t="inlineStr">
        <is>
          <t>课堂参与</t>
        </is>
      </c>
      <c r="D82" s="5" t="n">
        <v>3</v>
      </c>
      <c r="E82" s="5" t="inlineStr">
        <is>
          <t>主动举手/发言</t>
        </is>
      </c>
      <c r="F82" s="5" t="inlineStr">
        <is>
          <t>1-5(差~优)</t>
        </is>
      </c>
      <c r="G82" s="5" t="inlineStr">
        <is>
          <t>否</t>
        </is>
      </c>
      <c r="H82" s="5" t="inlineStr">
        <is>
          <t>全学段</t>
        </is>
      </c>
      <c r="I82" s="5" t="inlineStr">
        <is>
          <t>→A/F-02</t>
        </is>
      </c>
    </row>
    <row r="83">
      <c r="A83" s="5" t="inlineStr">
        <is>
          <t>F-02</t>
        </is>
      </c>
      <c r="B83" s="5" t="inlineStr">
        <is>
          <t>06 课堂观察评定</t>
        </is>
      </c>
      <c r="C83" s="5" t="inlineStr">
        <is>
          <t>学业表现</t>
        </is>
      </c>
      <c r="D83" s="5" t="n">
        <v>4</v>
      </c>
      <c r="E83" s="5" t="inlineStr">
        <is>
          <t>听讲理解（跟得上进度）</t>
        </is>
      </c>
      <c r="F83" s="5" t="inlineStr">
        <is>
          <t>1-5(差~优)</t>
        </is>
      </c>
      <c r="G83" s="5" t="inlineStr">
        <is>
          <t>否</t>
        </is>
      </c>
      <c r="H83" s="5" t="inlineStr">
        <is>
          <t>全学段</t>
        </is>
      </c>
      <c r="I83" s="5" t="inlineStr">
        <is>
          <t>→A/F-02</t>
        </is>
      </c>
    </row>
    <row r="84">
      <c r="A84" s="5" t="inlineStr">
        <is>
          <t>F-02</t>
        </is>
      </c>
      <c r="B84" s="5" t="inlineStr">
        <is>
          <t>06 课堂观察评定</t>
        </is>
      </c>
      <c r="C84" s="5" t="inlineStr">
        <is>
          <t>学业表现</t>
        </is>
      </c>
      <c r="D84" s="5" t="n">
        <v>5</v>
      </c>
      <c r="E84" s="5" t="inlineStr">
        <is>
          <t>笔记/记录习惯</t>
        </is>
      </c>
      <c r="F84" s="5" t="inlineStr">
        <is>
          <t>1-5(差~优)</t>
        </is>
      </c>
      <c r="G84" s="5" t="inlineStr">
        <is>
          <t>否</t>
        </is>
      </c>
      <c r="H84" s="5" t="inlineStr">
        <is>
          <t>全学段</t>
        </is>
      </c>
      <c r="I84" s="5" t="inlineStr">
        <is>
          <t>→A/F-02</t>
        </is>
      </c>
    </row>
    <row r="85">
      <c r="A85" s="5" t="inlineStr">
        <is>
          <t>F-02</t>
        </is>
      </c>
      <c r="B85" s="5" t="inlineStr">
        <is>
          <t>06 课堂观察评定</t>
        </is>
      </c>
      <c r="C85" s="5" t="inlineStr">
        <is>
          <t>社会情绪</t>
        </is>
      </c>
      <c r="D85" s="5" t="n">
        <v>6</v>
      </c>
      <c r="E85" s="5" t="inlineStr">
        <is>
          <t>同伴合作表现</t>
        </is>
      </c>
      <c r="F85" s="5" t="inlineStr">
        <is>
          <t>1-5(差~优)</t>
        </is>
      </c>
      <c r="G85" s="5" t="inlineStr">
        <is>
          <t>否</t>
        </is>
      </c>
      <c r="H85" s="5" t="inlineStr">
        <is>
          <t>全学段</t>
        </is>
      </c>
      <c r="I85" s="5" t="inlineStr">
        <is>
          <t>→A/F-02</t>
        </is>
      </c>
    </row>
    <row r="86">
      <c r="A86" s="5" t="inlineStr">
        <is>
          <t>F-02</t>
        </is>
      </c>
      <c r="B86" s="5" t="inlineStr">
        <is>
          <t>06 课堂观察评定</t>
        </is>
      </c>
      <c r="C86" s="5" t="inlineStr">
        <is>
          <t>社会情绪</t>
        </is>
      </c>
      <c r="D86" s="5" t="n">
        <v>7</v>
      </c>
      <c r="E86" s="5" t="inlineStr">
        <is>
          <t>遵守课堂规则</t>
        </is>
      </c>
      <c r="F86" s="5" t="inlineStr">
        <is>
          <t>1-5(差~优)</t>
        </is>
      </c>
      <c r="G86" s="5" t="inlineStr">
        <is>
          <t>否</t>
        </is>
      </c>
      <c r="H86" s="5" t="inlineStr">
        <is>
          <t>全学段</t>
        </is>
      </c>
      <c r="I86" s="5" t="inlineStr">
        <is>
          <t>→A/F-02</t>
        </is>
      </c>
    </row>
    <row r="87">
      <c r="A87" s="5" t="inlineStr">
        <is>
          <t>F-02</t>
        </is>
      </c>
      <c r="B87" s="5" t="inlineStr">
        <is>
          <t>06 课堂观察评定</t>
        </is>
      </c>
      <c r="C87" s="5" t="inlineStr">
        <is>
          <t>社会情绪</t>
        </is>
      </c>
      <c r="D87" s="5" t="n">
        <v>8</v>
      </c>
      <c r="E87" s="5" t="inlineStr">
        <is>
          <t>面对困难的坚持</t>
        </is>
      </c>
      <c r="F87" s="5" t="inlineStr">
        <is>
          <t>1-5(差~优)</t>
        </is>
      </c>
      <c r="G87" s="5" t="inlineStr">
        <is>
          <t>否</t>
        </is>
      </c>
      <c r="H87" s="5" t="inlineStr">
        <is>
          <t>全学段</t>
        </is>
      </c>
      <c r="I87" s="5" t="inlineStr">
        <is>
          <t>→A/F-02</t>
        </is>
      </c>
    </row>
    <row r="88">
      <c r="A88" s="5" t="inlineStr">
        <is>
          <t>F-02</t>
        </is>
      </c>
      <c r="B88" s="5" t="inlineStr">
        <is>
          <t>06 课堂观察评定</t>
        </is>
      </c>
      <c r="C88" s="5" t="inlineStr">
        <is>
          <t>社会情绪</t>
        </is>
      </c>
      <c r="D88" s="5" t="n">
        <v>9</v>
      </c>
      <c r="E88" s="5" t="inlineStr">
        <is>
          <t>情绪稳定性</t>
        </is>
      </c>
      <c r="F88" s="5" t="inlineStr">
        <is>
          <t>1-5(差~优)</t>
        </is>
      </c>
      <c r="G88" s="5" t="inlineStr">
        <is>
          <t>否</t>
        </is>
      </c>
      <c r="H88" s="5" t="inlineStr">
        <is>
          <t>全学段</t>
        </is>
      </c>
      <c r="I88" s="5" t="inlineStr">
        <is>
          <t>→A/F-02</t>
        </is>
      </c>
    </row>
    <row r="89">
      <c r="A89" s="5" t="inlineStr">
        <is>
          <t>F-02</t>
        </is>
      </c>
      <c r="B89" s="5" t="inlineStr">
        <is>
          <t>06 课堂观察评定</t>
        </is>
      </c>
      <c r="C89" s="5" t="inlineStr">
        <is>
          <t>学业表现</t>
        </is>
      </c>
      <c r="D89" s="5" t="n">
        <v>10</v>
      </c>
      <c r="E89" s="5" t="inlineStr">
        <is>
          <t>作业按时提交</t>
        </is>
      </c>
      <c r="F89" s="5" t="inlineStr">
        <is>
          <t>1-5(差~优)</t>
        </is>
      </c>
      <c r="G89" s="5" t="inlineStr">
        <is>
          <t>否</t>
        </is>
      </c>
      <c r="H89" s="5" t="inlineStr">
        <is>
          <t>全学段</t>
        </is>
      </c>
      <c r="I89" s="5" t="inlineStr">
        <is>
          <t>→A/F-02</t>
        </is>
      </c>
    </row>
  </sheetData>
  <autoFilter ref="A5:I89"/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2026-07-22T06:13:17Z</dcterms:created>
  <dcterms:modified xmlns:dcterms="http://purl.org/dc/terms/" xmlns:xsi="http://www.w3.org/2001/XMLSchema-instance" xsi:type="dcterms:W3CDTF">2026-07-22T06:13:17Z</dcterms:modified>
</cp:coreProperties>
</file>