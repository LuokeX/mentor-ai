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答题卡" sheetId="1" state="visible" r:id="rId1"/>
    <sheet xmlns:r="http://schemas.openxmlformats.org/officeDocument/2006/relationships" name="自动计算" sheetId="2" state="visible" r:id="rId2"/>
    <sheet xmlns:r="http://schemas.openxmlformats.org/officeDocument/2006/relationships" name="结果报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sz val="10"/>
    </font>
    <font>
      <name val="Microsoft YaHei"/>
      <b val="1"/>
      <sz val="10"/>
    </font>
    <font>
      <name val="Microsoft YaHei"/>
      <b val="1"/>
      <color rgb="00FFFFFF"/>
      <sz val="11"/>
    </font>
    <font>
      <name val="Microsoft YaHei"/>
      <b val="1"/>
      <color rgb="001F4E79"/>
      <sz val="10"/>
    </font>
    <font>
      <name val="Microsoft YaHei"/>
      <color rgb="00888888"/>
      <sz val="9"/>
    </font>
    <font>
      <name val="Microsoft YaHei"/>
      <b val="1"/>
      <sz val="14"/>
    </font>
    <font>
      <name val="Microsoft YaHei"/>
      <b val="1"/>
      <color rgb="00CC0000"/>
      <sz val="12"/>
    </font>
  </fonts>
  <fills count="1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E0"/>
      </patternFill>
    </fill>
    <fill>
      <patternFill patternType="solid">
        <fgColor rgb="00E0F0FF"/>
      </patternFill>
    </fill>
    <fill>
      <patternFill patternType="solid">
        <fgColor rgb="00FFF8E0"/>
      </patternFill>
    </fill>
    <fill>
      <patternFill patternType="solid">
        <fgColor rgb="00E8FFE0"/>
      </patternFill>
    </fill>
    <fill>
      <patternFill patternType="solid">
        <fgColor rgb="00F0E0FF"/>
      </patternFill>
    </fill>
    <fill>
      <patternFill patternType="solid">
        <fgColor rgb="00FFE8F0"/>
      </patternFill>
    </fill>
    <fill>
      <patternFill patternType="solid">
        <fgColor rgb="00F2F2F2"/>
      </patternFill>
    </fill>
    <fill>
      <patternFill patternType="solid">
        <fgColor rgb="00FF6B6B"/>
      </patternFill>
    </fill>
    <fill>
      <patternFill patternType="solid">
        <fgColor rgb="00FFB347"/>
      </patternFill>
    </fill>
    <fill>
      <patternFill patternType="solid">
        <fgColor rgb="00FFD700"/>
      </patternFill>
    </fill>
    <fill>
      <patternFill patternType="solid">
        <fgColor rgb="0087CEEB"/>
      </patternFill>
    </fill>
    <fill>
      <patternFill patternType="solid">
        <fgColor rgb="00DDA0D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52" customWidth="1" min="3" max="3"/>
    <col width="10" customWidth="1" min="4" max="4"/>
    <col width="14" customWidth="1" min="5" max="5"/>
  </cols>
  <sheetData>
    <row r="1">
      <c r="A1" s="1" t="inlineStr">
        <is>
          <t>学生个体问题评估·答题卡（45题）</t>
        </is>
      </c>
      <c r="B1" s="2" t="n"/>
      <c r="C1" s="2" t="n"/>
      <c r="D1" s="2" t="n"/>
      <c r="E1" s="3" t="n"/>
    </row>
    <row r="2">
      <c r="A2" s="4" t="inlineStr">
        <is>
          <t>学生姓名：________  班级：________  评估日期：________  评估人：________</t>
        </is>
      </c>
      <c r="B2" s="2" t="n"/>
      <c r="C2" s="2" t="n"/>
      <c r="D2" s="2" t="n"/>
      <c r="E2" s="3" t="n"/>
    </row>
    <row r="4">
      <c r="A4" s="5" t="inlineStr">
        <is>
          <t>评分：5=几乎每天 | 4=经常(周3-4次) | 3=有时(周1-2次) | 2=很少(月1-2次) | 1=几乎没有</t>
        </is>
      </c>
      <c r="B4" s="2" t="n"/>
      <c r="C4" s="2" t="n"/>
      <c r="D4" s="2" t="n"/>
      <c r="E4" s="3" t="n"/>
    </row>
    <row r="6">
      <c r="A6" s="6" t="inlineStr">
        <is>
          <t>题号</t>
        </is>
      </c>
      <c r="B6" s="6" t="inlineStr">
        <is>
          <t>维度</t>
        </is>
      </c>
      <c r="C6" s="6" t="inlineStr">
        <is>
          <t>题目内容</t>
        </is>
      </c>
      <c r="D6" s="6" t="inlineStr">
        <is>
          <t>←填1-5分</t>
        </is>
      </c>
      <c r="E6" s="6" t="inlineStr">
        <is>
          <t>类型</t>
        </is>
      </c>
    </row>
    <row r="7">
      <c r="A7" s="7" t="inlineStr">
        <is>
          <t>▼ 第一部分：信号筛查（15题）—— 关注问题出现的频率</t>
        </is>
      </c>
      <c r="B7" s="2" t="n"/>
      <c r="C7" s="2" t="n"/>
      <c r="D7" s="2" t="n"/>
      <c r="E7" s="3" t="n"/>
    </row>
    <row r="8">
      <c r="A8" s="8" t="n">
        <v>1</v>
      </c>
      <c r="B8" s="8" t="inlineStr">
        <is>
          <t>安全防护</t>
        </is>
      </c>
      <c r="C8" s="9" t="inlineStr">
        <is>
          <t>是否有体罚、暴力或忽视迹象</t>
        </is>
      </c>
      <c r="D8" s="10" t="inlineStr"/>
      <c r="E8" s="11" t="inlineStr">
        <is>
          <t>信号题</t>
        </is>
      </c>
    </row>
    <row r="9">
      <c r="A9" s="8" t="n">
        <v>2</v>
      </c>
      <c r="B9" s="8" t="inlineStr">
        <is>
          <t>安全防护</t>
        </is>
      </c>
      <c r="C9" s="9" t="inlineStr">
        <is>
          <t>是否被欺凌或明显排斥</t>
        </is>
      </c>
      <c r="D9" s="10" t="inlineStr"/>
      <c r="E9" s="11" t="inlineStr">
        <is>
          <t>信号题</t>
        </is>
      </c>
    </row>
    <row r="10">
      <c r="A10" s="12" t="n">
        <v>3</v>
      </c>
      <c r="B10" s="12" t="inlineStr">
        <is>
          <t>学会学习</t>
        </is>
      </c>
      <c r="C10" s="13" t="inlineStr">
        <is>
          <t>是否有科目持续低于75分</t>
        </is>
      </c>
      <c r="D10" s="10" t="inlineStr"/>
      <c r="E10" s="14" t="inlineStr">
        <is>
          <t>信号题</t>
        </is>
      </c>
    </row>
    <row r="11">
      <c r="A11" s="12" t="n">
        <v>4</v>
      </c>
      <c r="B11" s="12" t="inlineStr">
        <is>
          <t>学会学习</t>
        </is>
      </c>
      <c r="C11" s="13" t="inlineStr">
        <is>
          <t>作业是否经常不交或敷衍了事</t>
        </is>
      </c>
      <c r="D11" s="10" t="inlineStr"/>
      <c r="E11" s="14" t="inlineStr">
        <is>
          <t>信号题</t>
        </is>
      </c>
    </row>
    <row r="12">
      <c r="A12" s="12" t="n">
        <v>5</v>
      </c>
      <c r="B12" s="12" t="inlineStr">
        <is>
          <t>学会学习</t>
        </is>
      </c>
      <c r="C12" s="13" t="inlineStr">
        <is>
          <t>是否需反复催促才开始学习任务</t>
        </is>
      </c>
      <c r="D12" s="10" t="inlineStr"/>
      <c r="E12" s="14" t="inlineStr">
        <is>
          <t>信号题</t>
        </is>
      </c>
    </row>
    <row r="13">
      <c r="A13" s="15" t="n">
        <v>6</v>
      </c>
      <c r="B13" s="15" t="inlineStr">
        <is>
          <t>行为适应</t>
        </is>
      </c>
      <c r="C13" s="16" t="inlineStr">
        <is>
          <t>是否每天被点名提醒2次及以上</t>
        </is>
      </c>
      <c r="D13" s="10" t="inlineStr"/>
      <c r="E13" s="17" t="inlineStr">
        <is>
          <t>信号题</t>
        </is>
      </c>
    </row>
    <row r="14">
      <c r="A14" s="15" t="n">
        <v>7</v>
      </c>
      <c r="B14" s="15" t="inlineStr">
        <is>
          <t>行为适应</t>
        </is>
      </c>
      <c r="C14" s="16" t="inlineStr">
        <is>
          <t>一周内是否发生肢体冲突</t>
        </is>
      </c>
      <c r="D14" s="10" t="inlineStr"/>
      <c r="E14" s="17" t="inlineStr">
        <is>
          <t>信号题</t>
        </is>
      </c>
    </row>
    <row r="15">
      <c r="A15" s="15" t="n">
        <v>8</v>
      </c>
      <c r="B15" s="15" t="inlineStr">
        <is>
          <t>行为适应</t>
        </is>
      </c>
      <c r="C15" s="16" t="inlineStr">
        <is>
          <t>物品整理是否长期混乱、常丢东西</t>
        </is>
      </c>
      <c r="D15" s="10" t="inlineStr"/>
      <c r="E15" s="17" t="inlineStr">
        <is>
          <t>信号题</t>
        </is>
      </c>
    </row>
    <row r="16">
      <c r="A16" s="18" t="n">
        <v>9</v>
      </c>
      <c r="B16" s="18" t="inlineStr">
        <is>
          <t>情绪管理</t>
        </is>
      </c>
      <c r="C16" s="19" t="inlineStr">
        <is>
          <t>是否从不或极少主动举手发言</t>
        </is>
      </c>
      <c r="D16" s="10" t="inlineStr"/>
      <c r="E16" s="20" t="inlineStr">
        <is>
          <t>信号题</t>
        </is>
      </c>
    </row>
    <row r="17">
      <c r="A17" s="18" t="n">
        <v>10</v>
      </c>
      <c r="B17" s="18" t="inlineStr">
        <is>
          <t>情绪管理</t>
        </is>
      </c>
      <c r="C17" s="19" t="inlineStr">
        <is>
          <t>是否有与情境不成比例的强烈情绪</t>
        </is>
      </c>
      <c r="D17" s="10" t="inlineStr"/>
      <c r="E17" s="20" t="inlineStr">
        <is>
          <t>信号题</t>
        </is>
      </c>
    </row>
    <row r="18">
      <c r="A18" s="18" t="n">
        <v>11</v>
      </c>
      <c r="B18" s="18" t="inlineStr">
        <is>
          <t>情绪管理</t>
        </is>
      </c>
      <c r="C18" s="19" t="inlineStr">
        <is>
          <t>是否常说「我不行」「我太笨了」</t>
        </is>
      </c>
      <c r="D18" s="10" t="inlineStr"/>
      <c r="E18" s="20" t="inlineStr">
        <is>
          <t>信号题</t>
        </is>
      </c>
    </row>
    <row r="19">
      <c r="A19" s="21" t="n">
        <v>12</v>
      </c>
      <c r="B19" s="21" t="inlineStr">
        <is>
          <t>人际关系</t>
        </is>
      </c>
      <c r="C19" s="22" t="inlineStr">
        <is>
          <t>自由活动时间是否通常独自一人</t>
        </is>
      </c>
      <c r="D19" s="10" t="inlineStr"/>
      <c r="E19" s="23" t="inlineStr">
        <is>
          <t>信号题</t>
        </is>
      </c>
    </row>
    <row r="20">
      <c r="A20" s="21" t="n">
        <v>13</v>
      </c>
      <c r="B20" s="21" t="inlineStr">
        <is>
          <t>人际关系</t>
        </is>
      </c>
      <c r="C20" s="22" t="inlineStr">
        <is>
          <t>是否不会用恰当方式加入同伴游戏</t>
        </is>
      </c>
      <c r="D20" s="10" t="inlineStr"/>
      <c r="E20" s="23" t="inlineStr">
        <is>
          <t>信号题</t>
        </is>
      </c>
    </row>
    <row r="21">
      <c r="A21" s="24" t="n">
        <v>14</v>
      </c>
      <c r="B21" s="24" t="inlineStr">
        <is>
          <t>家庭环境</t>
        </is>
      </c>
      <c r="C21" s="25" t="inlineStr">
        <is>
          <t>亲子沟通是否存在明显障碍</t>
        </is>
      </c>
      <c r="D21" s="10" t="inlineStr"/>
      <c r="E21" s="26" t="inlineStr">
        <is>
          <t>信号题</t>
        </is>
      </c>
    </row>
    <row r="22">
      <c r="A22" s="24" t="n">
        <v>15</v>
      </c>
      <c r="B22" s="24" t="inlineStr">
        <is>
          <t>家庭环境</t>
        </is>
      </c>
      <c r="C22" s="25" t="inlineStr">
        <is>
          <t>家庭支持是否明显缺位</t>
        </is>
      </c>
      <c r="D22" s="10" t="inlineStr"/>
      <c r="E22" s="26" t="inlineStr">
        <is>
          <t>信号题</t>
        </is>
      </c>
    </row>
    <row r="23">
      <c r="A23" s="7" t="inlineStr">
        <is>
          <t>▼ 第二部分：能力评估（30题）—— 关注能做到的频率</t>
        </is>
      </c>
      <c r="B23" s="2" t="n"/>
      <c r="C23" s="2" t="n"/>
      <c r="D23" s="2" t="n"/>
      <c r="E23" s="3" t="n"/>
    </row>
    <row r="24">
      <c r="A24" s="27" t="n">
        <v>16</v>
      </c>
      <c r="B24" s="27" t="inlineStr">
        <is>
          <t>自我意识</t>
        </is>
      </c>
      <c r="C24" s="28" t="inlineStr">
        <is>
          <t>能否准确说出自己的姓名、年龄、性别和所在班级</t>
        </is>
      </c>
      <c r="D24" s="10" t="inlineStr"/>
      <c r="E24" s="29" t="inlineStr">
        <is>
          <t>能力题</t>
        </is>
      </c>
    </row>
    <row r="25">
      <c r="A25" s="27" t="n">
        <v>17</v>
      </c>
      <c r="B25" s="27" t="inlineStr">
        <is>
          <t>自我意识</t>
        </is>
      </c>
      <c r="C25" s="28" t="inlineStr">
        <is>
          <t>能否识别并说出自己当前的情绪状态（开心/生气/难过/害怕）</t>
        </is>
      </c>
      <c r="D25" s="10" t="inlineStr"/>
      <c r="E25" s="29" t="inlineStr">
        <is>
          <t>能力题</t>
        </is>
      </c>
    </row>
    <row r="26">
      <c r="A26" s="27" t="n">
        <v>18</v>
      </c>
      <c r="B26" s="27" t="inlineStr">
        <is>
          <t>自我意识</t>
        </is>
      </c>
      <c r="C26" s="28" t="inlineStr">
        <is>
          <t>能否说出自己的至少2个优点或擅长的事情</t>
        </is>
      </c>
      <c r="D26" s="10" t="inlineStr"/>
      <c r="E26" s="29" t="inlineStr">
        <is>
          <t>能力题</t>
        </is>
      </c>
    </row>
    <row r="27">
      <c r="A27" s="27" t="n">
        <v>19</v>
      </c>
      <c r="B27" s="27" t="inlineStr">
        <is>
          <t>自我意识</t>
        </is>
      </c>
      <c r="C27" s="28" t="inlineStr">
        <is>
          <t>在做错事时能否承认自己的错误，不推卸责任</t>
        </is>
      </c>
      <c r="D27" s="10" t="inlineStr"/>
      <c r="E27" s="29" t="inlineStr">
        <is>
          <t>能力题</t>
        </is>
      </c>
    </row>
    <row r="28">
      <c r="A28" s="27" t="n">
        <v>20</v>
      </c>
      <c r="B28" s="27" t="inlineStr">
        <is>
          <t>自我意识</t>
        </is>
      </c>
      <c r="C28" s="28" t="inlineStr">
        <is>
          <t>对自己的能力是否有基本信心，愿意尝试新任务</t>
        </is>
      </c>
      <c r="D28" s="10" t="inlineStr"/>
      <c r="E28" s="29" t="inlineStr">
        <is>
          <t>能力题</t>
        </is>
      </c>
    </row>
    <row r="29">
      <c r="A29" s="27" t="n">
        <v>21</v>
      </c>
      <c r="B29" s="27" t="inlineStr">
        <is>
          <t>社会适应</t>
        </is>
      </c>
      <c r="C29" s="28" t="inlineStr">
        <is>
          <t>能否遵守课堂基本规则（举手发言、不随意离开座位）</t>
        </is>
      </c>
      <c r="D29" s="10" t="inlineStr"/>
      <c r="E29" s="29" t="inlineStr">
        <is>
          <t>能力题</t>
        </is>
      </c>
    </row>
    <row r="30">
      <c r="A30" s="27" t="n">
        <v>22</v>
      </c>
      <c r="B30" s="27" t="inlineStr">
        <is>
          <t>社会适应</t>
        </is>
      </c>
      <c r="C30" s="28" t="inlineStr">
        <is>
          <t>能否按时完成学校基本作息（准时到校、交作业、值日）</t>
        </is>
      </c>
      <c r="D30" s="10" t="inlineStr"/>
      <c r="E30" s="29" t="inlineStr">
        <is>
          <t>能力题</t>
        </is>
      </c>
    </row>
    <row r="31">
      <c r="A31" s="27" t="n">
        <v>23</v>
      </c>
      <c r="B31" s="27" t="inlineStr">
        <is>
          <t>社会适应</t>
        </is>
      </c>
      <c r="C31" s="28" t="inlineStr">
        <is>
          <t>在小组合作中能否完成分配的任务，配合他人工作</t>
        </is>
      </c>
      <c r="D31" s="10" t="inlineStr"/>
      <c r="E31" s="29" t="inlineStr">
        <is>
          <t>能力题</t>
        </is>
      </c>
    </row>
    <row r="32">
      <c r="A32" s="27" t="n">
        <v>24</v>
      </c>
      <c r="B32" s="27" t="inlineStr">
        <is>
          <t>社会适应</t>
        </is>
      </c>
      <c r="C32" s="28" t="inlineStr">
        <is>
          <t>面对规则变化或临时调课时，能否适应而不表现过度焦虑</t>
        </is>
      </c>
      <c r="D32" s="10" t="inlineStr"/>
      <c r="E32" s="29" t="inlineStr">
        <is>
          <t>能力题</t>
        </is>
      </c>
    </row>
    <row r="33">
      <c r="A33" s="27" t="n">
        <v>25</v>
      </c>
      <c r="B33" s="27" t="inlineStr">
        <is>
          <t>社会适应</t>
        </is>
      </c>
      <c r="C33" s="28" t="inlineStr">
        <is>
          <t>在不同教师的课堂上，行为是否基本一致</t>
        </is>
      </c>
      <c r="D33" s="10" t="inlineStr"/>
      <c r="E33" s="29" t="inlineStr">
        <is>
          <t>能力题</t>
        </is>
      </c>
    </row>
    <row r="34">
      <c r="A34" s="27" t="n">
        <v>26</v>
      </c>
      <c r="B34" s="27" t="inlineStr">
        <is>
          <t>情绪管理</t>
        </is>
      </c>
      <c r="C34" s="28" t="inlineStr">
        <is>
          <t>情绪激动时，能否在教师或同伴安抚下逐渐平复</t>
        </is>
      </c>
      <c r="D34" s="10" t="inlineStr"/>
      <c r="E34" s="29" t="inlineStr">
        <is>
          <t>能力题</t>
        </is>
      </c>
    </row>
    <row r="35">
      <c r="A35" s="27" t="n">
        <v>27</v>
      </c>
      <c r="B35" s="27" t="inlineStr">
        <is>
          <t>情绪管理</t>
        </is>
      </c>
      <c r="C35" s="28" t="inlineStr">
        <is>
          <t>能否用语言（而非哭闹/攻击/摔东西）表达情绪需求</t>
        </is>
      </c>
      <c r="D35" s="10" t="inlineStr"/>
      <c r="E35" s="29" t="inlineStr">
        <is>
          <t>能力题</t>
        </is>
      </c>
    </row>
    <row r="36">
      <c r="A36" s="27" t="n">
        <v>28</v>
      </c>
      <c r="B36" s="27" t="inlineStr">
        <is>
          <t>情绪管理</t>
        </is>
      </c>
      <c r="C36" s="28" t="inlineStr">
        <is>
          <t>面对「等一等」或「不可以」时，能否接受而不立即崩溃</t>
        </is>
      </c>
      <c r="D36" s="10" t="inlineStr"/>
      <c r="E36" s="29" t="inlineStr">
        <is>
          <t>能力题</t>
        </is>
      </c>
    </row>
    <row r="37">
      <c r="A37" s="27" t="n">
        <v>29</v>
      </c>
      <c r="B37" s="27" t="inlineStr">
        <is>
          <t>情绪管理</t>
        </is>
      </c>
      <c r="C37" s="28" t="inlineStr">
        <is>
          <t>日常情绪状态是否基本稳定，无明显的大起大落</t>
        </is>
      </c>
      <c r="D37" s="10" t="inlineStr"/>
      <c r="E37" s="29" t="inlineStr">
        <is>
          <t>能力题</t>
        </is>
      </c>
    </row>
    <row r="38">
      <c r="A38" s="27" t="n">
        <v>30</v>
      </c>
      <c r="B38" s="27" t="inlineStr">
        <is>
          <t>情绪管理</t>
        </is>
      </c>
      <c r="C38" s="28" t="inlineStr">
        <is>
          <t>面对挫折时，能否自我安抚或主动求助</t>
        </is>
      </c>
      <c r="D38" s="10" t="inlineStr"/>
      <c r="E38" s="29" t="inlineStr">
        <is>
          <t>能力题</t>
        </is>
      </c>
    </row>
    <row r="39">
      <c r="A39" s="27" t="n">
        <v>31</v>
      </c>
      <c r="B39" s="27" t="inlineStr">
        <is>
          <t>人际关系</t>
        </is>
      </c>
      <c r="C39" s="28" t="inlineStr">
        <is>
          <t>课间自由活动时，是否有固定的玩伴或朋友</t>
        </is>
      </c>
      <c r="D39" s="10" t="inlineStr"/>
      <c r="E39" s="29" t="inlineStr">
        <is>
          <t>能力题</t>
        </is>
      </c>
    </row>
    <row r="40">
      <c r="A40" s="27" t="n">
        <v>32</v>
      </c>
      <c r="B40" s="27" t="inlineStr">
        <is>
          <t>人际关系</t>
        </is>
      </c>
      <c r="C40" s="28" t="inlineStr">
        <is>
          <t>能否与同学分享文具、玩具或活动空间</t>
        </is>
      </c>
      <c r="D40" s="10" t="inlineStr"/>
      <c r="E40" s="29" t="inlineStr">
        <is>
          <t>能力题</t>
        </is>
      </c>
    </row>
    <row r="41">
      <c r="A41" s="27" t="n">
        <v>33</v>
      </c>
      <c r="B41" s="27" t="inlineStr">
        <is>
          <t>人际关系</t>
        </is>
      </c>
      <c r="C41" s="28" t="inlineStr">
        <is>
          <t>与同学发生冲突时，能否尝试用语言解决而非动手</t>
        </is>
      </c>
      <c r="D41" s="10" t="inlineStr"/>
      <c r="E41" s="29" t="inlineStr">
        <is>
          <t>能力题</t>
        </is>
      </c>
    </row>
    <row r="42">
      <c r="A42" s="27" t="n">
        <v>34</v>
      </c>
      <c r="B42" s="27" t="inlineStr">
        <is>
          <t>人际关系</t>
        </is>
      </c>
      <c r="C42" s="28" t="inlineStr">
        <is>
          <t>能否主动加入或被邀请加入集体活动</t>
        </is>
      </c>
      <c r="D42" s="10" t="inlineStr"/>
      <c r="E42" s="29" t="inlineStr">
        <is>
          <t>能力题</t>
        </is>
      </c>
    </row>
    <row r="43">
      <c r="A43" s="27" t="n">
        <v>35</v>
      </c>
      <c r="B43" s="27" t="inlineStr">
        <is>
          <t>人际关系</t>
        </is>
      </c>
      <c r="C43" s="28" t="inlineStr">
        <is>
          <t>能否理解他人的情绪并做出适当回应</t>
        </is>
      </c>
      <c r="D43" s="10" t="inlineStr"/>
      <c r="E43" s="29" t="inlineStr">
        <is>
          <t>能力题</t>
        </is>
      </c>
    </row>
    <row r="44">
      <c r="A44" s="27" t="n">
        <v>36</v>
      </c>
      <c r="B44" s="27" t="inlineStr">
        <is>
          <t>学会学习</t>
        </is>
      </c>
      <c r="C44" s="28" t="inlineStr">
        <is>
          <t>课堂上能否保持与年级相当的有效注意时间</t>
        </is>
      </c>
      <c r="D44" s="10" t="inlineStr"/>
      <c r="E44" s="29" t="inlineStr">
        <is>
          <t>能力题</t>
        </is>
      </c>
    </row>
    <row r="45">
      <c r="A45" s="27" t="n">
        <v>37</v>
      </c>
      <c r="B45" s="27" t="inlineStr">
        <is>
          <t>学会学习</t>
        </is>
      </c>
      <c r="C45" s="28" t="inlineStr">
        <is>
          <t>能否按步骤独立完成课堂任务</t>
        </is>
      </c>
      <c r="D45" s="10" t="inlineStr"/>
      <c r="E45" s="29" t="inlineStr">
        <is>
          <t>能力题</t>
        </is>
      </c>
    </row>
    <row r="46">
      <c r="A46" s="27" t="n">
        <v>38</v>
      </c>
      <c r="B46" s="27" t="inlineStr">
        <is>
          <t>学会学习</t>
        </is>
      </c>
      <c r="C46" s="28" t="inlineStr">
        <is>
          <t>遇到学习困难时，能否主动提问或寻求帮助</t>
        </is>
      </c>
      <c r="D46" s="10" t="inlineStr"/>
      <c r="E46" s="29" t="inlineStr">
        <is>
          <t>能力题</t>
        </is>
      </c>
    </row>
    <row r="47">
      <c r="A47" s="27" t="n">
        <v>39</v>
      </c>
      <c r="B47" s="27" t="inlineStr">
        <is>
          <t>学会学习</t>
        </is>
      </c>
      <c r="C47" s="28" t="inlineStr">
        <is>
          <t>能否使用至少一种基础学习策略（划线/复述/提纲/笔记）</t>
        </is>
      </c>
      <c r="D47" s="10" t="inlineStr"/>
      <c r="E47" s="29" t="inlineStr">
        <is>
          <t>能力题</t>
        </is>
      </c>
    </row>
    <row r="48">
      <c r="A48" s="27" t="n">
        <v>40</v>
      </c>
      <c r="B48" s="27" t="inlineStr">
        <is>
          <t>学会学习</t>
        </is>
      </c>
      <c r="C48" s="28" t="inlineStr">
        <is>
          <t>对自己的学习效果是否有基本判断（知道哪里会、哪里不会）</t>
        </is>
      </c>
      <c r="D48" s="10" t="inlineStr"/>
      <c r="E48" s="29" t="inlineStr">
        <is>
          <t>能力题</t>
        </is>
      </c>
    </row>
    <row r="49">
      <c r="A49" s="27" t="n">
        <v>41</v>
      </c>
      <c r="B49" s="27" t="inlineStr">
        <is>
          <t>生涯认知</t>
        </is>
      </c>
      <c r="C49" s="28" t="inlineStr">
        <is>
          <t>能否说出至少2种常见职业及其基本工作内容</t>
        </is>
      </c>
      <c r="D49" s="10" t="inlineStr"/>
      <c r="E49" s="29" t="inlineStr">
        <is>
          <t>能力题</t>
        </is>
      </c>
    </row>
    <row r="50">
      <c r="A50" s="27" t="n">
        <v>42</v>
      </c>
      <c r="B50" s="27" t="inlineStr">
        <is>
          <t>生涯认知</t>
        </is>
      </c>
      <c r="C50" s="28" t="inlineStr">
        <is>
          <t>是否在角色扮演/游戏/课堂活动中表现出职业兴趣</t>
        </is>
      </c>
      <c r="D50" s="10" t="inlineStr"/>
      <c r="E50" s="29" t="inlineStr">
        <is>
          <t>能力题</t>
        </is>
      </c>
    </row>
    <row r="51">
      <c r="A51" s="27" t="n">
        <v>43</v>
      </c>
      <c r="B51" s="27" t="inlineStr">
        <is>
          <t>生涯认知</t>
        </is>
      </c>
      <c r="C51" s="28" t="inlineStr">
        <is>
          <t>能否清楚说出自己感兴趣的学科或活动</t>
        </is>
      </c>
      <c r="D51" s="10" t="inlineStr"/>
      <c r="E51" s="29" t="inlineStr">
        <is>
          <t>能力题</t>
        </is>
      </c>
    </row>
    <row r="52">
      <c r="A52" s="27" t="n">
        <v>44</v>
      </c>
      <c r="B52" s="27" t="inlineStr">
        <is>
          <t>生涯认知</t>
        </is>
      </c>
      <c r="C52" s="28" t="inlineStr">
        <is>
          <t>能否将当前学习内容与未来想做之事建立简单联系</t>
        </is>
      </c>
      <c r="D52" s="10" t="inlineStr"/>
      <c r="E52" s="29" t="inlineStr">
        <is>
          <t>能力题</t>
        </is>
      </c>
    </row>
    <row r="53">
      <c r="A53" s="27" t="n">
        <v>45</v>
      </c>
      <c r="B53" s="27" t="inlineStr">
        <is>
          <t>生涯认知</t>
        </is>
      </c>
      <c r="C53" s="28" t="inlineStr">
        <is>
          <t>对自己的课余兴趣是否有基本认知，能坚持参与至少一项</t>
        </is>
      </c>
      <c r="D53" s="10" t="inlineStr"/>
      <c r="E53" s="29" t="inlineStr">
        <is>
          <t>能力题</t>
        </is>
      </c>
    </row>
  </sheetData>
  <mergeCells count="5">
    <mergeCell ref="A4:E4"/>
    <mergeCell ref="A2:E2"/>
    <mergeCell ref="A7:E7"/>
    <mergeCell ref="A1:E1"/>
    <mergeCell ref="A23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十五型编码积分计算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规则：每题得分≥3 → 信号触发 → 权重累加到对应编码 → 积分≥5 = 激活</t>
        </is>
      </c>
      <c r="B2" s="2" t="n"/>
      <c r="C2" s="2" t="n"/>
      <c r="D2" s="2" t="n"/>
      <c r="E2" s="2" t="n"/>
      <c r="F2" s="2" t="n"/>
      <c r="G2" s="3" t="n"/>
    </row>
    <row r="4">
      <c r="A4" s="6" t="inlineStr">
        <is>
          <t>编码</t>
        </is>
      </c>
      <c r="B4" s="6" t="inlineStr">
        <is>
          <t>子类型</t>
        </is>
      </c>
      <c r="C4" s="6" t="inlineStr">
        <is>
          <t>信号来源</t>
        </is>
      </c>
      <c r="D4" s="6" t="inlineStr">
        <is>
          <t>触发数</t>
        </is>
      </c>
      <c r="E4" s="6" t="inlineStr">
        <is>
          <t>总积分</t>
        </is>
      </c>
      <c r="F4" s="6" t="inlineStr">
        <is>
          <t>激活?</t>
        </is>
      </c>
      <c r="G4" s="6" t="inlineStr">
        <is>
          <t>类别</t>
        </is>
      </c>
    </row>
    <row r="5">
      <c r="A5" s="30" t="inlineStr">
        <is>
          <t>A1</t>
        </is>
      </c>
      <c r="B5" s="10" t="inlineStr">
        <is>
          <t>注意力分散型</t>
        </is>
      </c>
      <c r="C5" s="31" t="inlineStr">
        <is>
          <t>Q3(+3), Q4(+3), Q5(+3), Q6(+3), Q8(+3)</t>
        </is>
      </c>
      <c r="D5" s="10">
        <f>IF(答题卡!D11&gt;=3,1,0)+IF(答题卡!D12&gt;=3,1,0)+IF(答题卡!D13&gt;=3,1,0)+IF(答题卡!D14&gt;=3,1,0)+IF(答题卡!D16&gt;=3,1,0)</f>
        <v/>
      </c>
      <c r="E5" s="32">
        <f>IF(答题卡!D11&gt;=3,3,0)+IF(答题卡!D12&gt;=3,3,0)+IF(答题卡!D13&gt;=3,3,0)+IF(答题卡!D14&gt;=3,3,0)+IF(答题卡!D16&gt;=3,3,0)</f>
        <v/>
      </c>
      <c r="F5" s="32">
        <f>IF(E5&gt;=5,"✓ 激活","—")</f>
        <v/>
      </c>
      <c r="G5" s="10" t="inlineStr">
        <is>
          <t>第A类</t>
        </is>
      </c>
    </row>
    <row r="6">
      <c r="A6" s="30" t="inlineStr">
        <is>
          <t>A2</t>
        </is>
      </c>
      <c r="B6" s="10" t="inlineStr">
        <is>
          <t>动机缺失型</t>
        </is>
      </c>
      <c r="C6" s="31" t="inlineStr">
        <is>
          <t>Q4(+3), Q5(+5)</t>
        </is>
      </c>
      <c r="D6" s="10">
        <f>IF(答题卡!D12&gt;=3,1,0)+IF(答题卡!D13&gt;=3,1,0)</f>
        <v/>
      </c>
      <c r="E6" s="32">
        <f>IF(答题卡!D12&gt;=3,3,0)+IF(答题卡!D13&gt;=3,5,0)</f>
        <v/>
      </c>
      <c r="F6" s="32">
        <f>IF(E6&gt;=5,"✓ 激活","—")</f>
        <v/>
      </c>
      <c r="G6" s="10" t="inlineStr">
        <is>
          <t>第A类</t>
        </is>
      </c>
    </row>
    <row r="7">
      <c r="A7" s="30" t="inlineStr">
        <is>
          <t>A3</t>
        </is>
      </c>
      <c r="B7" s="10" t="inlineStr">
        <is>
          <t>技能不足型</t>
        </is>
      </c>
      <c r="C7" s="31" t="inlineStr">
        <is>
          <t>Q3(+5)</t>
        </is>
      </c>
      <c r="D7" s="10">
        <f>IF(答题卡!D11&gt;=3,1,0)</f>
        <v/>
      </c>
      <c r="E7" s="32">
        <f>IF(答题卡!D11&gt;=3,5,0)</f>
        <v/>
      </c>
      <c r="F7" s="32">
        <f>IF(E7&gt;=5,"✓ 激活","—")</f>
        <v/>
      </c>
      <c r="G7" s="10" t="inlineStr">
        <is>
          <t>第A类</t>
        </is>
      </c>
    </row>
    <row r="8">
      <c r="A8" s="30" t="inlineStr">
        <is>
          <t>B1</t>
        </is>
      </c>
      <c r="B8" s="10" t="inlineStr">
        <is>
          <t>课堂纪律型</t>
        </is>
      </c>
      <c r="C8" s="31" t="inlineStr">
        <is>
          <t>Q6(+5)</t>
        </is>
      </c>
      <c r="D8" s="10">
        <f>IF(答题卡!D14&gt;=3,1,0)</f>
        <v/>
      </c>
      <c r="E8" s="32">
        <f>IF(答题卡!D14&gt;=3,5,0)</f>
        <v/>
      </c>
      <c r="F8" s="32">
        <f>IF(E8&gt;=5,"✓ 激活","—")</f>
        <v/>
      </c>
      <c r="G8" s="10" t="inlineStr">
        <is>
          <t>第B类</t>
        </is>
      </c>
    </row>
    <row r="9">
      <c r="A9" s="30" t="inlineStr">
        <is>
          <t>B2</t>
        </is>
      </c>
      <c r="B9" s="10" t="inlineStr">
        <is>
          <t>规则习惯型</t>
        </is>
      </c>
      <c r="C9" s="31" t="inlineStr">
        <is>
          <t>Q4(+5), Q8(+5)</t>
        </is>
      </c>
      <c r="D9" s="10">
        <f>IF(答题卡!D12&gt;=3,1,0)+IF(答题卡!D16&gt;=3,1,0)</f>
        <v/>
      </c>
      <c r="E9" s="32">
        <f>IF(答题卡!D12&gt;=3,5,0)+IF(答题卡!D16&gt;=3,5,0)</f>
        <v/>
      </c>
      <c r="F9" s="32">
        <f>IF(E9&gt;=5,"✓ 激活","—")</f>
        <v/>
      </c>
      <c r="G9" s="10" t="inlineStr">
        <is>
          <t>第B类</t>
        </is>
      </c>
    </row>
    <row r="10">
      <c r="A10" s="30" t="inlineStr">
        <is>
          <t>B3</t>
        </is>
      </c>
      <c r="B10" s="10" t="inlineStr">
        <is>
          <t>攻击冲动型</t>
        </is>
      </c>
      <c r="C10" s="31" t="inlineStr">
        <is>
          <t>Q7(+5), Q10(+3)</t>
        </is>
      </c>
      <c r="D10" s="10">
        <f>IF(答题卡!D15&gt;=3,1,0)+IF(答题卡!D18&gt;=3,1,0)</f>
        <v/>
      </c>
      <c r="E10" s="32">
        <f>IF(答题卡!D15&gt;=3,5,0)+IF(答题卡!D18&gt;=3,3,0)</f>
        <v/>
      </c>
      <c r="F10" s="32">
        <f>IF(E10&gt;=5,"✓ 激活","—")</f>
        <v/>
      </c>
      <c r="G10" s="10" t="inlineStr">
        <is>
          <t>第B类</t>
        </is>
      </c>
    </row>
    <row r="11">
      <c r="A11" s="30" t="inlineStr">
        <is>
          <t>C1</t>
        </is>
      </c>
      <c r="B11" s="10" t="inlineStr">
        <is>
          <t>焦虑退缩型</t>
        </is>
      </c>
      <c r="C11" s="31" t="inlineStr">
        <is>
          <t>Q2(+3), Q9(+5), Q11(+3), Q12(+3)</t>
        </is>
      </c>
      <c r="D11" s="10">
        <f>IF(答题卡!D10&gt;=3,1,0)+IF(答题卡!D17&gt;=3,1,0)+IF(答题卡!D19&gt;=3,1,0)+IF(答题卡!D20&gt;=3,1,0)</f>
        <v/>
      </c>
      <c r="E11" s="32">
        <f>IF(答题卡!D10&gt;=3,3,0)+IF(答题卡!D17&gt;=3,5,0)+IF(答题卡!D19&gt;=3,3,0)+IF(答题卡!D20&gt;=3,3,0)</f>
        <v/>
      </c>
      <c r="F11" s="32">
        <f>IF(E11&gt;=5,"✓ 激活","—")</f>
        <v/>
      </c>
      <c r="G11" s="10" t="inlineStr">
        <is>
          <t>第C类</t>
        </is>
      </c>
    </row>
    <row r="12">
      <c r="A12" s="30" t="inlineStr">
        <is>
          <t>C2</t>
        </is>
      </c>
      <c r="B12" s="10" t="inlineStr">
        <is>
          <t>情绪调节型</t>
        </is>
      </c>
      <c r="C12" s="31" t="inlineStr">
        <is>
          <t>Q10(+5), Q14(+3)</t>
        </is>
      </c>
      <c r="D12" s="10">
        <f>IF(答题卡!D18&gt;=3,1,0)+IF(答题卡!D22&gt;=3,1,0)</f>
        <v/>
      </c>
      <c r="E12" s="32">
        <f>IF(答题卡!D18&gt;=3,5,0)+IF(答题卡!D22&gt;=3,3,0)</f>
        <v/>
      </c>
      <c r="F12" s="32">
        <f>IF(E12&gt;=5,"✓ 激活","—")</f>
        <v/>
      </c>
      <c r="G12" s="10" t="inlineStr">
        <is>
          <t>第C类</t>
        </is>
      </c>
    </row>
    <row r="13">
      <c r="A13" s="30" t="inlineStr">
        <is>
          <t>C3</t>
        </is>
      </c>
      <c r="B13" s="10" t="inlineStr">
        <is>
          <t>低自尊型</t>
        </is>
      </c>
      <c r="C13" s="31" t="inlineStr">
        <is>
          <t>Q9(+3), Q11(+5)</t>
        </is>
      </c>
      <c r="D13" s="10">
        <f>IF(答题卡!D17&gt;=3,1,0)+IF(答题卡!D19&gt;=3,1,0)</f>
        <v/>
      </c>
      <c r="E13" s="32">
        <f>IF(答题卡!D17&gt;=3,3,0)+IF(答题卡!D19&gt;=3,5,0)</f>
        <v/>
      </c>
      <c r="F13" s="32">
        <f>IF(E13&gt;=5,"✓ 激活","—")</f>
        <v/>
      </c>
      <c r="G13" s="10" t="inlineStr">
        <is>
          <t>第C类</t>
        </is>
      </c>
    </row>
    <row r="14">
      <c r="A14" s="30" t="inlineStr">
        <is>
          <t>D1</t>
        </is>
      </c>
      <c r="B14" s="10" t="inlineStr">
        <is>
          <t>同伴冲突型</t>
        </is>
      </c>
      <c r="C14" s="31" t="inlineStr">
        <is>
          <t>Q2(+5), Q7(+3)</t>
        </is>
      </c>
      <c r="D14" s="10">
        <f>IF(答题卡!D10&gt;=3,1,0)+IF(答题卡!D15&gt;=3,1,0)</f>
        <v/>
      </c>
      <c r="E14" s="32">
        <f>IF(答题卡!D10&gt;=3,5,0)+IF(答题卡!D15&gt;=3,3,0)</f>
        <v/>
      </c>
      <c r="F14" s="32">
        <f>IF(E14&gt;=5,"✓ 激活","—")</f>
        <v/>
      </c>
      <c r="G14" s="10" t="inlineStr">
        <is>
          <t>第D类</t>
        </is>
      </c>
    </row>
    <row r="15">
      <c r="A15" s="30" t="inlineStr">
        <is>
          <t>D2</t>
        </is>
      </c>
      <c r="B15" s="10" t="inlineStr">
        <is>
          <t>社交退缩型</t>
        </is>
      </c>
      <c r="C15" s="31" t="inlineStr">
        <is>
          <t>Q12(+5), Q13(+3)</t>
        </is>
      </c>
      <c r="D15" s="10">
        <f>IF(答题卡!D20&gt;=3,1,0)+IF(答题卡!D21&gt;=3,1,0)</f>
        <v/>
      </c>
      <c r="E15" s="32">
        <f>IF(答题卡!D20&gt;=3,5,0)+IF(答题卡!D21&gt;=3,3,0)</f>
        <v/>
      </c>
      <c r="F15" s="32">
        <f>IF(E15&gt;=5,"✓ 激活","—")</f>
        <v/>
      </c>
      <c r="G15" s="10" t="inlineStr">
        <is>
          <t>第D类</t>
        </is>
      </c>
    </row>
    <row r="16">
      <c r="A16" s="30" t="inlineStr">
        <is>
          <t>D3</t>
        </is>
      </c>
      <c r="B16" s="10" t="inlineStr">
        <is>
          <t>技能缺失型</t>
        </is>
      </c>
      <c r="C16" s="31" t="inlineStr">
        <is>
          <t>Q13(+5)</t>
        </is>
      </c>
      <c r="D16" s="10">
        <f>IF(答题卡!D21&gt;=3,1,0)</f>
        <v/>
      </c>
      <c r="E16" s="32">
        <f>IF(答题卡!D21&gt;=3,5,0)</f>
        <v/>
      </c>
      <c r="F16" s="32">
        <f>IF(E16&gt;=5,"✓ 激活","—")</f>
        <v/>
      </c>
      <c r="G16" s="10" t="inlineStr">
        <is>
          <t>第D类</t>
        </is>
      </c>
    </row>
    <row r="17">
      <c r="A17" s="30" t="inlineStr">
        <is>
          <t>E1</t>
        </is>
      </c>
      <c r="B17" s="10" t="inlineStr">
        <is>
          <t>亲子紧张型</t>
        </is>
      </c>
      <c r="C17" s="31" t="inlineStr">
        <is>
          <t>Q14(+5)</t>
        </is>
      </c>
      <c r="D17" s="10">
        <f>IF(答题卡!D22&gt;=3,1,0)</f>
        <v/>
      </c>
      <c r="E17" s="32">
        <f>IF(答题卡!D22&gt;=3,5,0)</f>
        <v/>
      </c>
      <c r="F17" s="32">
        <f>IF(E17&gt;=5,"✓ 激活","—")</f>
        <v/>
      </c>
      <c r="G17" s="10" t="inlineStr">
        <is>
          <t>第E类</t>
        </is>
      </c>
    </row>
    <row r="18">
      <c r="A18" s="30" t="inlineStr">
        <is>
          <t>E2</t>
        </is>
      </c>
      <c r="B18" s="10" t="inlineStr">
        <is>
          <t>教养不当型</t>
        </is>
      </c>
      <c r="C18" s="31" t="inlineStr">
        <is>
          <t>Q1(+5), Q15(+3)</t>
        </is>
      </c>
      <c r="D18" s="10">
        <f>IF(答题卡!D9&gt;=3,1,0)+IF(答题卡!D23&gt;=3,1,0)</f>
        <v/>
      </c>
      <c r="E18" s="32">
        <f>IF(答题卡!D9&gt;=3,5,0)+IF(答题卡!D23&gt;=3,3,0)</f>
        <v/>
      </c>
      <c r="F18" s="32">
        <f>IF(E18&gt;=5,"✓ 激活","—")</f>
        <v/>
      </c>
      <c r="G18" s="10" t="inlineStr">
        <is>
          <t>第E类</t>
        </is>
      </c>
    </row>
    <row r="19">
      <c r="A19" s="30" t="inlineStr">
        <is>
          <t>E3</t>
        </is>
      </c>
      <c r="B19" s="10" t="inlineStr">
        <is>
          <t>支持缺位型</t>
        </is>
      </c>
      <c r="C19" s="31" t="inlineStr">
        <is>
          <t>Q1(+3), Q15(+5)</t>
        </is>
      </c>
      <c r="D19" s="10">
        <f>IF(答题卡!D9&gt;=3,1,0)+IF(答题卡!D23&gt;=3,1,0)</f>
        <v/>
      </c>
      <c r="E19" s="32">
        <f>IF(答题卡!D9&gt;=3,3,0)+IF(答题卡!D23&gt;=3,5,0)</f>
        <v/>
      </c>
      <c r="F19" s="32">
        <f>IF(E19&gt;=5,"✓ 激活","—")</f>
        <v/>
      </c>
      <c r="G19" s="10" t="inlineStr">
        <is>
          <t>第E类</t>
        </is>
      </c>
    </row>
    <row r="21">
      <c r="A21" s="1" t="inlineStr">
        <is>
          <t>六维能力等级计算</t>
        </is>
      </c>
      <c r="B21" s="2" t="n"/>
      <c r="C21" s="2" t="n"/>
      <c r="D21" s="2" t="n"/>
      <c r="E21" s="2" t="n"/>
      <c r="F21" s="2" t="n"/>
      <c r="G21" s="3" t="n"/>
    </row>
    <row r="22">
      <c r="A22" s="4" t="inlineStr">
        <is>
          <t>规则：每维度5题求和 → A(≥22) / B(18-21) / C(13-17) / D(8-12) / E(≤7)</t>
        </is>
      </c>
      <c r="B22" s="2" t="n"/>
      <c r="C22" s="2" t="n"/>
      <c r="D22" s="2" t="n"/>
      <c r="E22" s="2" t="n"/>
      <c r="F22" s="2" t="n"/>
      <c r="G22" s="3" t="n"/>
    </row>
    <row r="23">
      <c r="A23" s="6" t="inlineStr">
        <is>
          <t>维度</t>
        </is>
      </c>
      <c r="B23" s="6" t="inlineStr">
        <is>
          <t>题目</t>
        </is>
      </c>
      <c r="C23" s="6" t="inlineStr">
        <is>
          <t>总分(25)</t>
        </is>
      </c>
      <c r="D23" s="6" t="inlineStr">
        <is>
          <t>等级</t>
        </is>
      </c>
      <c r="E23" s="6" t="inlineStr">
        <is>
          <t>需关注?</t>
        </is>
      </c>
    </row>
    <row r="24">
      <c r="A24" s="30" t="inlineStr">
        <is>
          <t>自我意识</t>
        </is>
      </c>
      <c r="B24" s="10" t="inlineStr">
        <is>
          <t>Q16-Q20</t>
        </is>
      </c>
      <c r="C24" s="32">
        <f>SUM(答题卡!D24:D28)</f>
        <v/>
      </c>
      <c r="D24" s="32">
        <f>IF(C24&gt;=22,"A",IF(C24&gt;=18,"B",IF(C24&gt;=13,"C",IF(C24&gt;=8,"D","E"))))</f>
        <v/>
      </c>
      <c r="E24" s="32">
        <f>IF(OR(D24="D",D24="E"),"⚠ D/E","—")</f>
        <v/>
      </c>
    </row>
    <row r="25">
      <c r="A25" s="30" t="inlineStr">
        <is>
          <t>社会适应</t>
        </is>
      </c>
      <c r="B25" s="10" t="inlineStr">
        <is>
          <t>Q21-Q25</t>
        </is>
      </c>
      <c r="C25" s="32">
        <f>SUM(答题卡!D29:D33)</f>
        <v/>
      </c>
      <c r="D25" s="32">
        <f>IF(C25&gt;=22,"A",IF(C25&gt;=18,"B",IF(C25&gt;=13,"C",IF(C25&gt;=8,"D","E"))))</f>
        <v/>
      </c>
      <c r="E25" s="32">
        <f>IF(OR(D25="D",D25="E"),"⚠ D/E","—")</f>
        <v/>
      </c>
    </row>
    <row r="26">
      <c r="A26" s="30" t="inlineStr">
        <is>
          <t>情绪管理</t>
        </is>
      </c>
      <c r="B26" s="10" t="inlineStr">
        <is>
          <t>Q26-Q30</t>
        </is>
      </c>
      <c r="C26" s="32">
        <f>SUM(答题卡!D34:D38)</f>
        <v/>
      </c>
      <c r="D26" s="32">
        <f>IF(C26&gt;=22,"A",IF(C26&gt;=18,"B",IF(C26&gt;=13,"C",IF(C26&gt;=8,"D","E"))))</f>
        <v/>
      </c>
      <c r="E26" s="32">
        <f>IF(OR(D26="D",D26="E"),"⚠ D/E","—")</f>
        <v/>
      </c>
    </row>
    <row r="27">
      <c r="A27" s="30" t="inlineStr">
        <is>
          <t>人际关系</t>
        </is>
      </c>
      <c r="B27" s="10" t="inlineStr">
        <is>
          <t>Q31-Q35</t>
        </is>
      </c>
      <c r="C27" s="32">
        <f>SUM(答题卡!D39:D43)</f>
        <v/>
      </c>
      <c r="D27" s="32">
        <f>IF(C27&gt;=22,"A",IF(C27&gt;=18,"B",IF(C27&gt;=13,"C",IF(C27&gt;=8,"D","E"))))</f>
        <v/>
      </c>
      <c r="E27" s="32">
        <f>IF(OR(D27="D",D27="E"),"⚠ D/E","—")</f>
        <v/>
      </c>
    </row>
    <row r="28">
      <c r="A28" s="30" t="inlineStr">
        <is>
          <t>学会学习</t>
        </is>
      </c>
      <c r="B28" s="10" t="inlineStr">
        <is>
          <t>Q36-Q40</t>
        </is>
      </c>
      <c r="C28" s="32">
        <f>SUM(答题卡!D44:D48)</f>
        <v/>
      </c>
      <c r="D28" s="32">
        <f>IF(C28&gt;=22,"A",IF(C28&gt;=18,"B",IF(C28&gt;=13,"C",IF(C28&gt;=8,"D","E"))))</f>
        <v/>
      </c>
      <c r="E28" s="32">
        <f>IF(OR(D28="D",D28="E"),"⚠ D/E","—")</f>
        <v/>
      </c>
    </row>
    <row r="29">
      <c r="A29" s="30" t="inlineStr">
        <is>
          <t>生涯认知</t>
        </is>
      </c>
      <c r="B29" s="10" t="inlineStr">
        <is>
          <t>Q41-Q45</t>
        </is>
      </c>
      <c r="C29" s="32">
        <f>SUM(答题卡!D49:D53)</f>
        <v/>
      </c>
      <c r="D29" s="32">
        <f>IF(C29&gt;=22,"A",IF(C29&gt;=18,"B",IF(C29&gt;=13,"C",IF(C29&gt;=8,"D","E"))))</f>
        <v/>
      </c>
      <c r="E29" s="32">
        <f>IF(OR(D29="D",D29="E"),"⚠ D/E","—")</f>
        <v/>
      </c>
    </row>
    <row r="30">
      <c r="A30" s="33" t="inlineStr">
        <is>
          <t>汇总</t>
        </is>
      </c>
      <c r="B30" s="5" t="inlineStr">
        <is>
          <t>D/E维度数</t>
        </is>
      </c>
      <c r="C30" s="33">
        <f>COUNTIF(E24:E29,"⚠ D/E")</f>
        <v/>
      </c>
      <c r="D30" s="2" t="n"/>
      <c r="E30" s="2" t="n"/>
      <c r="F30" s="2" t="n"/>
      <c r="G30" s="3" t="n"/>
    </row>
    <row r="31">
      <c r="A31" s="33" t="inlineStr"/>
      <c r="B31" s="5" t="inlineStr">
        <is>
          <t>已激活编码数</t>
        </is>
      </c>
      <c r="C31" s="33">
        <f>COUNTIF(F5:F19,"✓ 激活")</f>
        <v/>
      </c>
      <c r="D31" s="2" t="n"/>
      <c r="E31" s="2" t="n"/>
      <c r="F31" s="2" t="n"/>
      <c r="G31" s="3" t="n"/>
    </row>
    <row r="32">
      <c r="A32" s="33" t="inlineStr"/>
      <c r="B32" s="5" t="inlineStr">
        <is>
          <t>已激活编码</t>
        </is>
      </c>
      <c r="C32" s="4">
        <f>IF(IF(F5="✓ 激活",A5&amp;"、","")&amp;IF(F6="✓ 激活",A6&amp;"、","")&amp;IF(F7="✓ 激活",A7&amp;"、","")&amp;IF(F8="✓ 激活",A8&amp;"、","")&amp;IF(F9="✓ 激活",A9&amp;"、","")&amp;IF(F10="✓ 激活",A10&amp;"、","")&amp;IF(F11="✓ 激活",A11&amp;"、","")&amp;IF(F12="✓ 激活",A12&amp;"、","")&amp;IF(F13="✓ 激活",A13&amp;"、","")&amp;IF(F14="✓ 激活",A14&amp;"、","")&amp;IF(F15="✓ 激活",A15&amp;"、","")&amp;IF(F16="✓ 激活",A16&amp;"、","")&amp;IF(F17="✓ 激活",A17&amp;"、","")&amp;IF(F18="✓ 激活",A18&amp;"、","")&amp;IF(F19="✓ 激活",A19&amp;"、","")="","",LEFT(IF(F5="✓ 激活",A5&amp;"、","")&amp;IF(F6="✓ 激活",A6&amp;"、","")&amp;IF(F7="✓ 激活",A7&amp;"、","")&amp;IF(F8="✓ 激活",A8&amp;"、","")&amp;IF(F9="✓ 激活",A9&amp;"、","")&amp;IF(F10="✓ 激活",A10&amp;"、","")&amp;IF(F11="✓ 激活",A11&amp;"、","")&amp;IF(F12="✓ 激活",A12&amp;"、","")&amp;IF(F13="✓ 激活",A13&amp;"、","")&amp;IF(F14="✓ 激活",A14&amp;"、","")&amp;IF(F15="✓ 激活",A15&amp;"、","")&amp;IF(F16="✓ 激活",A16&amp;"、","")&amp;IF(F17="✓ 激活",A17&amp;"、","")&amp;IF(F18="✓ 激活",A18&amp;"、","")&amp;IF(F19="✓ 激活",A19&amp;"、",""),LEN(IF(F5="✓ 激活",A5&amp;"、","")&amp;IF(F6="✓ 激活",A6&amp;"、","")&amp;IF(F7="✓ 激活",A7&amp;"、","")&amp;IF(F8="✓ 激活",A8&amp;"、","")&amp;IF(F9="✓ 激活",A9&amp;"、","")&amp;IF(F10="✓ 激活",A10&amp;"、","")&amp;IF(F11="✓ 激活",A11&amp;"、","")&amp;IF(F12="✓ 激活",A12&amp;"、","")&amp;IF(F13="✓ 激活",A13&amp;"、","")&amp;IF(F14="✓ 激活",A14&amp;"、","")&amp;IF(F15="✓ 激活",A15&amp;"、","")&amp;IF(F16="✓ 激活",A16&amp;"、","")&amp;IF(F17="✓ 激活",A17&amp;"、","")&amp;IF(F18="✓ 激活",A18&amp;"、","")&amp;IF(F19="✓ 激活",A19&amp;"、",""))-1))</f>
        <v/>
      </c>
      <c r="D32" s="2" t="n"/>
      <c r="E32" s="2" t="n"/>
      <c r="F32" s="2" t="n"/>
      <c r="G32" s="3" t="n"/>
    </row>
  </sheetData>
  <mergeCells count="7">
    <mergeCell ref="C30:G30"/>
    <mergeCell ref="A1:G1"/>
    <mergeCell ref="C32:G32"/>
    <mergeCell ref="A21:G21"/>
    <mergeCell ref="A22:G22"/>
    <mergeCell ref="A2:G2"/>
    <mergeCell ref="C31:G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0000"/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4" customWidth="1" min="4" max="4"/>
  </cols>
  <sheetData>
    <row r="1">
      <c r="A1" s="1" t="inlineStr">
        <is>
          <t>学生个体问题评估·结果报告</t>
        </is>
      </c>
      <c r="B1" s="2" t="n"/>
      <c r="C1" s="2" t="n"/>
      <c r="D1" s="3" t="n"/>
    </row>
    <row r="2">
      <c r="A2" s="31" t="inlineStr">
        <is>
          <t>由答题卡自动生成 | 学生姓名：________ | 班级：________</t>
        </is>
      </c>
      <c r="B2" s="2" t="n"/>
      <c r="C2" s="2" t="n"/>
      <c r="D2" s="3" t="n"/>
    </row>
    <row r="4">
      <c r="A4" s="7" t="inlineStr">
        <is>
          <t>一、十五型编码结果</t>
        </is>
      </c>
      <c r="B4" s="2" t="n"/>
      <c r="C4" s="2" t="n"/>
      <c r="D4" s="3" t="n"/>
    </row>
    <row r="5">
      <c r="A5" s="6" t="inlineStr">
        <is>
          <t>编码</t>
        </is>
      </c>
      <c r="B5" s="6" t="inlineStr">
        <is>
          <t>子类型</t>
        </is>
      </c>
      <c r="C5" s="6" t="inlineStr">
        <is>
          <t>积分</t>
        </is>
      </c>
      <c r="D5" s="6" t="inlineStr">
        <is>
          <t>状态</t>
        </is>
      </c>
    </row>
    <row r="6">
      <c r="A6" s="30" t="inlineStr">
        <is>
          <t>A1</t>
        </is>
      </c>
      <c r="B6" s="10" t="inlineStr">
        <is>
          <t>注意力分散型</t>
        </is>
      </c>
      <c r="C6" s="32">
        <f>自动计算!E5</f>
        <v/>
      </c>
      <c r="D6" s="32">
        <f>自动计算!F5</f>
        <v/>
      </c>
    </row>
    <row r="7">
      <c r="A7" s="30" t="inlineStr">
        <is>
          <t>A2</t>
        </is>
      </c>
      <c r="B7" s="10" t="inlineStr">
        <is>
          <t>动机缺失型</t>
        </is>
      </c>
      <c r="C7" s="32">
        <f>自动计算!E6</f>
        <v/>
      </c>
      <c r="D7" s="32">
        <f>自动计算!F6</f>
        <v/>
      </c>
    </row>
    <row r="8">
      <c r="A8" s="30" t="inlineStr">
        <is>
          <t>A3</t>
        </is>
      </c>
      <c r="B8" s="10" t="inlineStr">
        <is>
          <t>技能不足型</t>
        </is>
      </c>
      <c r="C8" s="32">
        <f>自动计算!E7</f>
        <v/>
      </c>
      <c r="D8" s="32">
        <f>自动计算!F7</f>
        <v/>
      </c>
    </row>
    <row r="9">
      <c r="A9" s="30" t="inlineStr">
        <is>
          <t>B1</t>
        </is>
      </c>
      <c r="B9" s="10" t="inlineStr">
        <is>
          <t>课堂纪律型</t>
        </is>
      </c>
      <c r="C9" s="32">
        <f>自动计算!E8</f>
        <v/>
      </c>
      <c r="D9" s="32">
        <f>自动计算!F8</f>
        <v/>
      </c>
    </row>
    <row r="10">
      <c r="A10" s="30" t="inlineStr">
        <is>
          <t>B2</t>
        </is>
      </c>
      <c r="B10" s="10" t="inlineStr">
        <is>
          <t>规则习惯型</t>
        </is>
      </c>
      <c r="C10" s="32">
        <f>自动计算!E9</f>
        <v/>
      </c>
      <c r="D10" s="32">
        <f>自动计算!F9</f>
        <v/>
      </c>
    </row>
    <row r="11">
      <c r="A11" s="30" t="inlineStr">
        <is>
          <t>B3</t>
        </is>
      </c>
      <c r="B11" s="10" t="inlineStr">
        <is>
          <t>攻击冲动型</t>
        </is>
      </c>
      <c r="C11" s="32">
        <f>自动计算!E10</f>
        <v/>
      </c>
      <c r="D11" s="32">
        <f>自动计算!F10</f>
        <v/>
      </c>
    </row>
    <row r="12">
      <c r="A12" s="30" t="inlineStr">
        <is>
          <t>C1</t>
        </is>
      </c>
      <c r="B12" s="10" t="inlineStr">
        <is>
          <t>焦虑退缩型</t>
        </is>
      </c>
      <c r="C12" s="32">
        <f>自动计算!E11</f>
        <v/>
      </c>
      <c r="D12" s="32">
        <f>自动计算!F11</f>
        <v/>
      </c>
    </row>
    <row r="13">
      <c r="A13" s="30" t="inlineStr">
        <is>
          <t>C2</t>
        </is>
      </c>
      <c r="B13" s="10" t="inlineStr">
        <is>
          <t>情绪调节型</t>
        </is>
      </c>
      <c r="C13" s="32">
        <f>自动计算!E12</f>
        <v/>
      </c>
      <c r="D13" s="32">
        <f>自动计算!F12</f>
        <v/>
      </c>
    </row>
    <row r="14">
      <c r="A14" s="30" t="inlineStr">
        <is>
          <t>C3</t>
        </is>
      </c>
      <c r="B14" s="10" t="inlineStr">
        <is>
          <t>低自尊型</t>
        </is>
      </c>
      <c r="C14" s="32">
        <f>自动计算!E13</f>
        <v/>
      </c>
      <c r="D14" s="32">
        <f>自动计算!F13</f>
        <v/>
      </c>
    </row>
    <row r="15">
      <c r="A15" s="30" t="inlineStr">
        <is>
          <t>D1</t>
        </is>
      </c>
      <c r="B15" s="10" t="inlineStr">
        <is>
          <t>同伴冲突型</t>
        </is>
      </c>
      <c r="C15" s="32">
        <f>自动计算!E14</f>
        <v/>
      </c>
      <c r="D15" s="32">
        <f>自动计算!F14</f>
        <v/>
      </c>
    </row>
    <row r="16">
      <c r="A16" s="30" t="inlineStr">
        <is>
          <t>D2</t>
        </is>
      </c>
      <c r="B16" s="10" t="inlineStr">
        <is>
          <t>社交退缩型</t>
        </is>
      </c>
      <c r="C16" s="32">
        <f>自动计算!E15</f>
        <v/>
      </c>
      <c r="D16" s="32">
        <f>自动计算!F15</f>
        <v/>
      </c>
    </row>
    <row r="17">
      <c r="A17" s="30" t="inlineStr">
        <is>
          <t>D3</t>
        </is>
      </c>
      <c r="B17" s="10" t="inlineStr">
        <is>
          <t>技能缺失型</t>
        </is>
      </c>
      <c r="C17" s="32">
        <f>自动计算!E16</f>
        <v/>
      </c>
      <c r="D17" s="32">
        <f>自动计算!F16</f>
        <v/>
      </c>
    </row>
    <row r="18">
      <c r="A18" s="30" t="inlineStr">
        <is>
          <t>E1</t>
        </is>
      </c>
      <c r="B18" s="10" t="inlineStr">
        <is>
          <t>亲子紧张型</t>
        </is>
      </c>
      <c r="C18" s="32">
        <f>自动计算!E17</f>
        <v/>
      </c>
      <c r="D18" s="32">
        <f>自动计算!F17</f>
        <v/>
      </c>
    </row>
    <row r="19">
      <c r="A19" s="30" t="inlineStr">
        <is>
          <t>E2</t>
        </is>
      </c>
      <c r="B19" s="10" t="inlineStr">
        <is>
          <t>教养不当型</t>
        </is>
      </c>
      <c r="C19" s="32">
        <f>自动计算!E18</f>
        <v/>
      </c>
      <c r="D19" s="32">
        <f>自动计算!F18</f>
        <v/>
      </c>
    </row>
    <row r="20">
      <c r="A20" s="30" t="inlineStr">
        <is>
          <t>E3</t>
        </is>
      </c>
      <c r="B20" s="10" t="inlineStr">
        <is>
          <t>支持缺位型</t>
        </is>
      </c>
      <c r="C20" s="32">
        <f>自动计算!E19</f>
        <v/>
      </c>
      <c r="D20" s="32">
        <f>自动计算!F19</f>
        <v/>
      </c>
    </row>
    <row r="22">
      <c r="A22" s="7" t="inlineStr">
        <is>
          <t>二、六维能力等级</t>
        </is>
      </c>
      <c r="B22" s="2" t="n"/>
      <c r="C22" s="2" t="n"/>
      <c r="D22" s="3" t="n"/>
    </row>
    <row r="23">
      <c r="A23" s="6" t="inlineStr">
        <is>
          <t>维度</t>
        </is>
      </c>
      <c r="B23" s="6" t="inlineStr">
        <is>
          <t>总分(25)</t>
        </is>
      </c>
      <c r="C23" s="6" t="inlineStr">
        <is>
          <t>等级</t>
        </is>
      </c>
      <c r="D23" s="6" t="inlineStr">
        <is>
          <t>需关注?</t>
        </is>
      </c>
    </row>
    <row r="24">
      <c r="A24" s="30" t="inlineStr">
        <is>
          <t>自我意识</t>
        </is>
      </c>
      <c r="B24" s="32">
        <f>自动计算!C24</f>
        <v/>
      </c>
      <c r="C24" s="32">
        <f>自动计算!D24</f>
        <v/>
      </c>
      <c r="D24" s="32">
        <f>自动计算!E24</f>
        <v/>
      </c>
    </row>
    <row r="25">
      <c r="A25" s="30" t="inlineStr">
        <is>
          <t>社会适应</t>
        </is>
      </c>
      <c r="B25" s="32">
        <f>自动计算!C25</f>
        <v/>
      </c>
      <c r="C25" s="32">
        <f>自动计算!D25</f>
        <v/>
      </c>
      <c r="D25" s="32">
        <f>自动计算!E25</f>
        <v/>
      </c>
    </row>
    <row r="26">
      <c r="A26" s="30" t="inlineStr">
        <is>
          <t>情绪管理</t>
        </is>
      </c>
      <c r="B26" s="32">
        <f>自动计算!C26</f>
        <v/>
      </c>
      <c r="C26" s="32">
        <f>自动计算!D26</f>
        <v/>
      </c>
      <c r="D26" s="32">
        <f>自动计算!E26</f>
        <v/>
      </c>
    </row>
    <row r="27">
      <c r="A27" s="30" t="inlineStr">
        <is>
          <t>人际关系</t>
        </is>
      </c>
      <c r="B27" s="32">
        <f>自动计算!C27</f>
        <v/>
      </c>
      <c r="C27" s="32">
        <f>自动计算!D27</f>
        <v/>
      </c>
      <c r="D27" s="32">
        <f>自动计算!E27</f>
        <v/>
      </c>
    </row>
    <row r="28">
      <c r="A28" s="30" t="inlineStr">
        <is>
          <t>学会学习</t>
        </is>
      </c>
      <c r="B28" s="32">
        <f>自动计算!C28</f>
        <v/>
      </c>
      <c r="C28" s="32">
        <f>自动计算!D28</f>
        <v/>
      </c>
      <c r="D28" s="32">
        <f>自动计算!E28</f>
        <v/>
      </c>
    </row>
    <row r="29">
      <c r="A29" s="30" t="inlineStr">
        <is>
          <t>生涯认知</t>
        </is>
      </c>
      <c r="B29" s="32">
        <f>自动计算!C29</f>
        <v/>
      </c>
      <c r="C29" s="32">
        <f>自动计算!D29</f>
        <v/>
      </c>
      <c r="D29" s="32">
        <f>自动计算!E29</f>
        <v/>
      </c>
    </row>
    <row r="31">
      <c r="A31" s="7" t="inlineStr">
        <is>
          <t>三、五级响应判定</t>
        </is>
      </c>
      <c r="B31" s="2" t="n"/>
      <c r="C31" s="2" t="n"/>
      <c r="D31" s="3" t="n"/>
    </row>
    <row r="32">
      <c r="A32" s="30" t="inlineStr">
        <is>
          <t>安全Q1</t>
        </is>
      </c>
      <c r="B32" s="4" t="inlineStr">
        <is>
          <t>Q1(体罚/暴力)≥4分 → 安全预警</t>
        </is>
      </c>
      <c r="C32" s="32">
        <f>IF(答题卡!D9&gt;=4,"🔴触发","—")</f>
        <v/>
      </c>
      <c r="D32" s="3" t="n"/>
    </row>
    <row r="33">
      <c r="A33" s="30" t="inlineStr">
        <is>
          <t>安全Q2</t>
        </is>
      </c>
      <c r="B33" s="4" t="inlineStr">
        <is>
          <t>Q2(欺凌/排斥)≥4分 → 安全预警</t>
        </is>
      </c>
      <c r="C33" s="32">
        <f>IF(答题卡!D10&gt;=4,"🔴触发","—")</f>
        <v/>
      </c>
      <c r="D33" s="3" t="n"/>
    </row>
    <row r="34">
      <c r="A34" s="30" t="inlineStr">
        <is>
          <t>编码数</t>
        </is>
      </c>
      <c r="B34" s="4" t="inlineStr">
        <is>
          <t>已激活编码数量</t>
        </is>
      </c>
      <c r="C34" s="34">
        <f>自动计算!C31</f>
        <v/>
      </c>
      <c r="D34" s="3" t="n"/>
    </row>
    <row r="35">
      <c r="A35" s="30" t="inlineStr">
        <is>
          <t>DE数</t>
        </is>
      </c>
      <c r="B35" s="4" t="inlineStr">
        <is>
          <t>能力D/E维度数量</t>
        </is>
      </c>
      <c r="C35" s="34">
        <f>自动计算!C30</f>
        <v/>
      </c>
      <c r="D35" s="3" t="n"/>
    </row>
    <row r="37">
      <c r="A37" s="35" t="inlineStr">
        <is>
          <t>🔴 红色</t>
        </is>
      </c>
      <c r="B37" s="36" t="inlineStr">
        <is>
          <t>紧急响应：安全风险或E2激活</t>
        </is>
      </c>
      <c r="C37" s="37">
        <f>IF(OR(答题卡!D9&gt;=4,答题卡!D10&gt;=4,自动计算!F18="✓ 激活"),"🔴 红色·紧急响应","")</f>
        <v/>
      </c>
      <c r="D37" s="3" t="n"/>
    </row>
    <row r="38">
      <c r="A38" s="38" t="inlineStr">
        <is>
          <t>🟠 橙色</t>
        </is>
      </c>
      <c r="B38" s="39" t="inlineStr">
        <is>
          <t>高响应：信号+能力双路确认</t>
        </is>
      </c>
      <c r="C38" s="40">
        <f>IF(AND(C37="",OR(AND(C34&gt;=1,C35&gt;=1))),"🟠 橙色·高响应","")</f>
        <v/>
      </c>
      <c r="D38" s="3" t="n"/>
    </row>
    <row r="39">
      <c r="A39" s="41" t="inlineStr">
        <is>
          <t>🟡 黄色</t>
        </is>
      </c>
      <c r="B39" s="42" t="inlineStr">
        <is>
          <t>中响应：多信号或多短板</t>
        </is>
      </c>
      <c r="C39" s="43">
        <f>IF(AND(C37="",C38="",OR(C34&gt;=2,C35&gt;=2)),"🟡 黄色·中响应","")</f>
        <v/>
      </c>
      <c r="D39" s="3" t="n"/>
    </row>
    <row r="40">
      <c r="A40" s="44" t="inlineStr">
        <is>
          <t>🔵 蓝色</t>
        </is>
      </c>
      <c r="B40" s="45" t="inlineStr">
        <is>
          <t>低风险：单一信号或单一短板</t>
        </is>
      </c>
      <c r="C40" s="46">
        <f>IF(AND(C37="",C38="",C39="",OR(C34=1,C35=1)),"🔵 蓝色·低风险","")</f>
        <v/>
      </c>
      <c r="D40" s="3" t="n"/>
    </row>
    <row r="41">
      <c r="A41" s="47" t="inlineStr">
        <is>
          <t>🟣 紫色</t>
        </is>
      </c>
      <c r="B41" s="48" t="inlineStr">
        <is>
          <t>待观察：无明确信号，发展正常</t>
        </is>
      </c>
      <c r="C41" s="49">
        <f>IF(AND(C37="",C38="",C39="",C40=""),"🟣 紫色·待观察","")</f>
        <v/>
      </c>
      <c r="D41" s="3" t="n"/>
    </row>
    <row r="43">
      <c r="A43" s="50" t="inlineStr">
        <is>
          <t>📋 最终响应级别</t>
        </is>
      </c>
      <c r="B43" s="51">
        <f>IF(C37&lt;&gt;"",C37,IF(C38&lt;&gt;"",C38,IF(C39&lt;&gt;"",C39,IF(C40&lt;&gt;"",C40,C41))))</f>
        <v/>
      </c>
      <c r="C43" s="2" t="n"/>
      <c r="D43" s="3" t="n"/>
    </row>
  </sheetData>
  <mergeCells count="15">
    <mergeCell ref="A1:D1"/>
    <mergeCell ref="C34:D34"/>
    <mergeCell ref="A31:D31"/>
    <mergeCell ref="C32:D32"/>
    <mergeCell ref="C38:D38"/>
    <mergeCell ref="A22:D22"/>
    <mergeCell ref="B43:D43"/>
    <mergeCell ref="C33:D33"/>
    <mergeCell ref="A4:D4"/>
    <mergeCell ref="C41:D41"/>
    <mergeCell ref="C37:D37"/>
    <mergeCell ref="A2:D2"/>
    <mergeCell ref="C40:D40"/>
    <mergeCell ref="C39:D39"/>
    <mergeCell ref="C35:D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2026-08-05T02:58:33Z</dcterms:created>
  <dcterms:modified xmlns:dcterms="http://purl.org/dc/terms/" xmlns:xsi="http://www.w3.org/2001/XMLSchema-instance" xsi:type="dcterms:W3CDTF">2026-08-05T02:58:33Z</dcterms:modified>
</cp:coreProperties>
</file>